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040"/>
  </bookViews>
  <sheets>
    <sheet name="Sheet1" sheetId="1" r:id="rId1"/>
    <sheet name="Sheet2" sheetId="2" r:id="rId2"/>
    <sheet name="Sheet3" sheetId="3" r:id="rId3"/>
    <sheet name="Sheet4" sheetId="4" r:id="rId4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3"/>
  <c r="I3"/>
  <c r="J3" s="1"/>
  <c r="H4"/>
  <c r="I4" s="1"/>
  <c r="J4" s="1"/>
  <c r="H5"/>
  <c r="I5"/>
  <c r="J5" s="1"/>
  <c r="H6"/>
  <c r="I6" s="1"/>
  <c r="J6" s="1"/>
  <c r="H7"/>
  <c r="I7"/>
  <c r="J7" s="1"/>
  <c r="H8"/>
  <c r="I8" s="1"/>
  <c r="J8" s="1"/>
  <c r="H9"/>
  <c r="I9"/>
  <c r="J9" s="1"/>
  <c r="H10"/>
  <c r="I10" s="1"/>
  <c r="J10" s="1"/>
  <c r="H11"/>
  <c r="I11"/>
  <c r="J11" s="1"/>
  <c r="H12"/>
  <c r="I12" s="1"/>
  <c r="J12" s="1"/>
  <c r="H13"/>
  <c r="I13"/>
  <c r="J13" s="1"/>
  <c r="H14"/>
  <c r="I14" s="1"/>
  <c r="J14" s="1"/>
  <c r="H15"/>
  <c r="I15"/>
  <c r="J15" s="1"/>
  <c r="H16"/>
  <c r="I16" s="1"/>
  <c r="J16" s="1"/>
  <c r="H17"/>
  <c r="I17"/>
  <c r="J17" s="1"/>
  <c r="H18"/>
  <c r="I18" s="1"/>
  <c r="J18" s="1"/>
  <c r="H19"/>
  <c r="I19"/>
  <c r="J19" s="1"/>
  <c r="H20"/>
  <c r="I20" s="1"/>
  <c r="J20" s="1"/>
  <c r="H21"/>
  <c r="I21"/>
  <c r="J21" s="1"/>
  <c r="H22"/>
  <c r="I22" s="1"/>
  <c r="J22" s="1"/>
  <c r="H23"/>
  <c r="I23"/>
  <c r="J23" s="1"/>
  <c r="H24"/>
  <c r="I24" s="1"/>
  <c r="J24" s="1"/>
  <c r="H25"/>
  <c r="I25"/>
  <c r="J25" s="1"/>
  <c r="H26"/>
  <c r="I26" s="1"/>
  <c r="J26" s="1"/>
  <c r="H27"/>
  <c r="I27"/>
  <c r="J27" s="1"/>
  <c r="H28"/>
  <c r="I28" s="1"/>
  <c r="J28" s="1"/>
  <c r="H29"/>
  <c r="I29"/>
  <c r="J29" s="1"/>
  <c r="H30"/>
  <c r="I30" s="1"/>
  <c r="J30" s="1"/>
  <c r="H31"/>
  <c r="I31"/>
  <c r="J31" s="1"/>
  <c r="H32"/>
  <c r="I32" s="1"/>
  <c r="J32" s="1"/>
  <c r="H33"/>
  <c r="I33"/>
  <c r="J33" s="1"/>
  <c r="H34"/>
  <c r="I34" s="1"/>
  <c r="J34" s="1"/>
  <c r="H35"/>
  <c r="I35"/>
  <c r="J35" s="1"/>
  <c r="H36"/>
  <c r="I36" s="1"/>
  <c r="J36" s="1"/>
  <c r="H37"/>
  <c r="I37"/>
  <c r="J37" s="1"/>
  <c r="H38"/>
  <c r="I38" s="1"/>
  <c r="J38" s="1"/>
  <c r="H39"/>
  <c r="I39"/>
  <c r="J39" s="1"/>
  <c r="H40"/>
  <c r="I40" s="1"/>
  <c r="J40" s="1"/>
  <c r="H41"/>
  <c r="I41"/>
  <c r="J41" s="1"/>
  <c r="H42"/>
  <c r="I42" s="1"/>
  <c r="J42" s="1"/>
  <c r="H43"/>
  <c r="I43"/>
  <c r="J43" s="1"/>
  <c r="H44"/>
  <c r="I44" s="1"/>
  <c r="J44" s="1"/>
  <c r="H45"/>
  <c r="I45"/>
  <c r="J45" s="1"/>
  <c r="H46"/>
  <c r="I46" s="1"/>
  <c r="J46" s="1"/>
  <c r="H47"/>
  <c r="I47"/>
  <c r="J47" s="1"/>
  <c r="H48"/>
  <c r="I48" s="1"/>
  <c r="J48" s="1"/>
  <c r="H49"/>
  <c r="I49"/>
  <c r="J49" s="1"/>
  <c r="H50"/>
  <c r="I50" s="1"/>
  <c r="J50" s="1"/>
  <c r="H51"/>
  <c r="I51"/>
  <c r="J51" s="1"/>
  <c r="H52"/>
  <c r="I52" s="1"/>
  <c r="J52" s="1"/>
  <c r="H53"/>
  <c r="I53"/>
  <c r="J53" s="1"/>
  <c r="H54"/>
  <c r="I54" s="1"/>
  <c r="J54" s="1"/>
  <c r="H55"/>
  <c r="I55"/>
  <c r="J55" s="1"/>
  <c r="H56"/>
  <c r="I56" s="1"/>
  <c r="J56" s="1"/>
  <c r="H57"/>
  <c r="I57"/>
  <c r="J57" s="1"/>
  <c r="H58"/>
  <c r="I58" s="1"/>
  <c r="J58" s="1"/>
  <c r="H59"/>
  <c r="I59"/>
  <c r="J59" s="1"/>
  <c r="H60"/>
  <c r="I60" s="1"/>
  <c r="J60" s="1"/>
  <c r="H61"/>
  <c r="I61"/>
  <c r="J61" s="1"/>
  <c r="H62"/>
  <c r="I62" s="1"/>
  <c r="J62" s="1"/>
  <c r="H63"/>
  <c r="I63"/>
  <c r="J63" s="1"/>
  <c r="H64"/>
  <c r="I64" s="1"/>
  <c r="J64" s="1"/>
  <c r="H65"/>
  <c r="I65"/>
  <c r="J65" s="1"/>
  <c r="H66"/>
  <c r="I66" s="1"/>
  <c r="J66" s="1"/>
  <c r="H67"/>
  <c r="I67"/>
  <c r="J67" s="1"/>
  <c r="H68"/>
  <c r="I68" s="1"/>
  <c r="J68" s="1"/>
  <c r="H69"/>
  <c r="I69"/>
  <c r="J69" s="1"/>
  <c r="H70"/>
  <c r="I70" s="1"/>
  <c r="J70" s="1"/>
  <c r="H71"/>
  <c r="I71"/>
  <c r="J71" s="1"/>
  <c r="H72"/>
  <c r="I72" s="1"/>
  <c r="J72" s="1"/>
  <c r="H73"/>
  <c r="I73"/>
  <c r="J73" s="1"/>
  <c r="H74"/>
  <c r="I74" s="1"/>
  <c r="J74" s="1"/>
  <c r="H75"/>
  <c r="I75"/>
  <c r="J75" s="1"/>
  <c r="H76"/>
  <c r="I76" s="1"/>
  <c r="J76" s="1"/>
  <c r="H77"/>
  <c r="I77"/>
  <c r="J77" s="1"/>
  <c r="H78"/>
  <c r="I78" s="1"/>
  <c r="J78" s="1"/>
  <c r="H79"/>
  <c r="I79"/>
  <c r="J79" s="1"/>
  <c r="H80"/>
  <c r="I80" s="1"/>
  <c r="J80" s="1"/>
  <c r="H81"/>
  <c r="I81"/>
  <c r="J81" s="1"/>
  <c r="H82"/>
  <c r="I82" s="1"/>
  <c r="J82" s="1"/>
  <c r="H83"/>
  <c r="I83"/>
  <c r="J83" s="1"/>
  <c r="H84"/>
  <c r="I84" s="1"/>
  <c r="J84" s="1"/>
  <c r="H85"/>
  <c r="I85"/>
  <c r="J85" s="1"/>
  <c r="H86"/>
  <c r="I86" s="1"/>
  <c r="J86" s="1"/>
  <c r="H87"/>
  <c r="I87"/>
  <c r="J87" s="1"/>
  <c r="H88"/>
  <c r="I88" s="1"/>
  <c r="J88" s="1"/>
  <c r="H89"/>
  <c r="I89"/>
  <c r="J89" s="1"/>
  <c r="H90"/>
  <c r="I90" s="1"/>
  <c r="J90" s="1"/>
  <c r="H91"/>
  <c r="I91"/>
  <c r="J91" s="1"/>
  <c r="H92"/>
  <c r="I92" s="1"/>
  <c r="J92" s="1"/>
  <c r="H93"/>
  <c r="I93"/>
  <c r="J93" s="1"/>
  <c r="H94"/>
  <c r="I94" s="1"/>
  <c r="J94" s="1"/>
  <c r="H95"/>
  <c r="I95"/>
  <c r="J95" s="1"/>
  <c r="H96"/>
  <c r="I96" s="1"/>
  <c r="J96" s="1"/>
  <c r="H97"/>
  <c r="I97"/>
  <c r="J97" s="1"/>
  <c r="H98"/>
  <c r="I98" s="1"/>
  <c r="J98" s="1"/>
  <c r="H99"/>
  <c r="I99"/>
  <c r="J99" s="1"/>
  <c r="H100"/>
  <c r="I100" s="1"/>
  <c r="J100" s="1"/>
  <c r="H101"/>
  <c r="I101"/>
  <c r="J101" s="1"/>
  <c r="H102"/>
  <c r="I102" s="1"/>
  <c r="J102" s="1"/>
  <c r="H103"/>
  <c r="I103"/>
  <c r="J103" s="1"/>
  <c r="H104"/>
  <c r="I104" s="1"/>
  <c r="J104" s="1"/>
  <c r="H105"/>
  <c r="I105"/>
  <c r="J105" s="1"/>
  <c r="H106"/>
  <c r="I106" s="1"/>
  <c r="J106" s="1"/>
  <c r="H107"/>
  <c r="I107"/>
  <c r="J107" s="1"/>
  <c r="H108"/>
  <c r="I108" s="1"/>
  <c r="J108" s="1"/>
  <c r="H109"/>
  <c r="I109"/>
  <c r="J109" s="1"/>
  <c r="H110"/>
  <c r="I110" s="1"/>
  <c r="J110" s="1"/>
  <c r="J2"/>
  <c r="I2"/>
  <c r="H2"/>
  <c r="H3" i="2"/>
  <c r="I3"/>
  <c r="J3" s="1"/>
  <c r="H4"/>
  <c r="I4"/>
  <c r="J4"/>
  <c r="H5"/>
  <c r="I5"/>
  <c r="J5" s="1"/>
  <c r="H6"/>
  <c r="I6"/>
  <c r="J6"/>
  <c r="H7"/>
  <c r="I7"/>
  <c r="J7" s="1"/>
  <c r="H8"/>
  <c r="I8"/>
  <c r="J8"/>
  <c r="H9"/>
  <c r="I9"/>
  <c r="J9" s="1"/>
  <c r="H10"/>
  <c r="I10"/>
  <c r="J10"/>
  <c r="H11"/>
  <c r="I11"/>
  <c r="J11" s="1"/>
  <c r="H12"/>
  <c r="I12"/>
  <c r="J12"/>
  <c r="H13"/>
  <c r="I13"/>
  <c r="J13" s="1"/>
  <c r="H14"/>
  <c r="I14"/>
  <c r="J14"/>
  <c r="H15"/>
  <c r="I15"/>
  <c r="J15" s="1"/>
  <c r="H16"/>
  <c r="I16"/>
  <c r="J16"/>
  <c r="H17"/>
  <c r="I17"/>
  <c r="J17" s="1"/>
  <c r="H18"/>
  <c r="I18"/>
  <c r="J18"/>
  <c r="H19"/>
  <c r="I19"/>
  <c r="J19" s="1"/>
  <c r="H20"/>
  <c r="I20"/>
  <c r="J20"/>
  <c r="H21"/>
  <c r="I21"/>
  <c r="J21" s="1"/>
  <c r="H22"/>
  <c r="I22"/>
  <c r="J22"/>
  <c r="H23"/>
  <c r="I23"/>
  <c r="J23" s="1"/>
  <c r="H24"/>
  <c r="I24"/>
  <c r="J24"/>
  <c r="H25"/>
  <c r="I25"/>
  <c r="J25" s="1"/>
  <c r="H26"/>
  <c r="I26"/>
  <c r="J26"/>
  <c r="H27"/>
  <c r="I27"/>
  <c r="J27" s="1"/>
  <c r="H28"/>
  <c r="I28"/>
  <c r="J28"/>
  <c r="H29"/>
  <c r="I29"/>
  <c r="J29" s="1"/>
  <c r="H30"/>
  <c r="I30"/>
  <c r="J30"/>
  <c r="H31"/>
  <c r="I31"/>
  <c r="J31" s="1"/>
  <c r="H32"/>
  <c r="I32"/>
  <c r="J32"/>
  <c r="H33"/>
  <c r="I33"/>
  <c r="J33" s="1"/>
  <c r="H34"/>
  <c r="I34"/>
  <c r="J34"/>
  <c r="H35"/>
  <c r="I35"/>
  <c r="J35" s="1"/>
  <c r="H36"/>
  <c r="I36"/>
  <c r="J36"/>
  <c r="H37"/>
  <c r="I37"/>
  <c r="J37" s="1"/>
  <c r="H38"/>
  <c r="I38"/>
  <c r="J38"/>
  <c r="H39"/>
  <c r="I39"/>
  <c r="J39" s="1"/>
  <c r="H40"/>
  <c r="I40"/>
  <c r="J40"/>
  <c r="H41"/>
  <c r="I41"/>
  <c r="J41" s="1"/>
  <c r="H42"/>
  <c r="I42"/>
  <c r="J42"/>
  <c r="H43"/>
  <c r="I43"/>
  <c r="J43" s="1"/>
  <c r="H44"/>
  <c r="I44"/>
  <c r="J44"/>
  <c r="H45"/>
  <c r="I45"/>
  <c r="J45" s="1"/>
  <c r="H46"/>
  <c r="I46"/>
  <c r="J46"/>
  <c r="H47"/>
  <c r="I47"/>
  <c r="J47" s="1"/>
  <c r="H48"/>
  <c r="I48"/>
  <c r="J48"/>
  <c r="H49"/>
  <c r="I49"/>
  <c r="J49" s="1"/>
  <c r="H50"/>
  <c r="I50"/>
  <c r="J50"/>
  <c r="H51"/>
  <c r="I51"/>
  <c r="J51" s="1"/>
  <c r="H52"/>
  <c r="I52"/>
  <c r="J52"/>
  <c r="H53"/>
  <c r="I53"/>
  <c r="J53" s="1"/>
  <c r="H54"/>
  <c r="I54"/>
  <c r="J54"/>
  <c r="H55"/>
  <c r="I55"/>
  <c r="J55" s="1"/>
  <c r="H56"/>
  <c r="I56"/>
  <c r="J56"/>
  <c r="H57"/>
  <c r="I57"/>
  <c r="J57" s="1"/>
  <c r="H58"/>
  <c r="I58"/>
  <c r="J58"/>
  <c r="H59"/>
  <c r="I59"/>
  <c r="J59" s="1"/>
  <c r="H60"/>
  <c r="I60"/>
  <c r="J60"/>
  <c r="H61"/>
  <c r="I61"/>
  <c r="J61" s="1"/>
  <c r="H62"/>
  <c r="I62"/>
  <c r="J62"/>
  <c r="H63"/>
  <c r="I63"/>
  <c r="J63" s="1"/>
  <c r="H64"/>
  <c r="I64"/>
  <c r="J64"/>
  <c r="H65"/>
  <c r="I65"/>
  <c r="J65" s="1"/>
  <c r="H66"/>
  <c r="I66"/>
  <c r="J66"/>
  <c r="H67"/>
  <c r="I67"/>
  <c r="J67" s="1"/>
  <c r="H68"/>
  <c r="I68"/>
  <c r="J68"/>
  <c r="H69"/>
  <c r="I69"/>
  <c r="J69" s="1"/>
  <c r="H70"/>
  <c r="I70"/>
  <c r="J70"/>
  <c r="H71"/>
  <c r="I71"/>
  <c r="J71" s="1"/>
  <c r="H72"/>
  <c r="I72"/>
  <c r="J72"/>
  <c r="H73"/>
  <c r="I73"/>
  <c r="J73" s="1"/>
  <c r="H74"/>
  <c r="I74"/>
  <c r="J74"/>
  <c r="H75"/>
  <c r="I75"/>
  <c r="J75" s="1"/>
  <c r="H76"/>
  <c r="I76"/>
  <c r="J76"/>
  <c r="H77"/>
  <c r="I77"/>
  <c r="J77" s="1"/>
  <c r="H78"/>
  <c r="I78"/>
  <c r="J78"/>
  <c r="H79"/>
  <c r="I79"/>
  <c r="J79" s="1"/>
  <c r="H80"/>
  <c r="I80"/>
  <c r="J80"/>
  <c r="H81"/>
  <c r="I81"/>
  <c r="J81" s="1"/>
  <c r="H82"/>
  <c r="I82"/>
  <c r="J82"/>
  <c r="H83"/>
  <c r="I83"/>
  <c r="J83" s="1"/>
  <c r="H84"/>
  <c r="I84"/>
  <c r="J84"/>
  <c r="H85"/>
  <c r="I85"/>
  <c r="J85" s="1"/>
  <c r="H86"/>
  <c r="I86"/>
  <c r="J86"/>
  <c r="H87"/>
  <c r="I87"/>
  <c r="J87" s="1"/>
  <c r="H88"/>
  <c r="I88"/>
  <c r="J88"/>
  <c r="H89"/>
  <c r="I89"/>
  <c r="J89" s="1"/>
  <c r="H90"/>
  <c r="I90"/>
  <c r="J90"/>
  <c r="H91"/>
  <c r="I91"/>
  <c r="J91" s="1"/>
  <c r="H92"/>
  <c r="I92"/>
  <c r="J92"/>
  <c r="H93"/>
  <c r="I93"/>
  <c r="J93" s="1"/>
  <c r="H94"/>
  <c r="I94"/>
  <c r="J94"/>
  <c r="H95"/>
  <c r="I95"/>
  <c r="J95" s="1"/>
  <c r="H96"/>
  <c r="I96"/>
  <c r="J96"/>
  <c r="H97"/>
  <c r="I97"/>
  <c r="J97" s="1"/>
  <c r="H98"/>
  <c r="I98"/>
  <c r="J98"/>
  <c r="H99"/>
  <c r="I99"/>
  <c r="J99" s="1"/>
  <c r="H100"/>
  <c r="I100"/>
  <c r="J100"/>
  <c r="H101"/>
  <c r="I101"/>
  <c r="J101" s="1"/>
  <c r="H102"/>
  <c r="I102"/>
  <c r="J102"/>
  <c r="H103"/>
  <c r="I103"/>
  <c r="J103" s="1"/>
  <c r="H104"/>
  <c r="I104"/>
  <c r="J104"/>
  <c r="J2"/>
  <c r="I2"/>
  <c r="H2"/>
  <c r="H2" i="1"/>
  <c r="I2"/>
  <c r="J2" s="1"/>
  <c r="H3"/>
  <c r="I3"/>
  <c r="J3"/>
  <c r="H4"/>
  <c r="I4"/>
  <c r="J4" s="1"/>
  <c r="H5"/>
  <c r="I5"/>
  <c r="J5"/>
  <c r="H6"/>
  <c r="I6"/>
  <c r="J6" s="1"/>
  <c r="H7"/>
  <c r="I7"/>
  <c r="J7"/>
  <c r="H8"/>
  <c r="I8"/>
  <c r="J8" s="1"/>
  <c r="H9"/>
  <c r="I9"/>
  <c r="J9"/>
  <c r="H10"/>
  <c r="I10"/>
  <c r="J10" s="1"/>
  <c r="H11"/>
  <c r="I11"/>
  <c r="J11"/>
  <c r="H12"/>
  <c r="I12"/>
  <c r="J12" s="1"/>
  <c r="H13"/>
  <c r="I13"/>
  <c r="J13"/>
  <c r="H14"/>
  <c r="I14"/>
  <c r="J14" s="1"/>
  <c r="H15"/>
  <c r="I15"/>
  <c r="J15"/>
  <c r="H16"/>
  <c r="I16"/>
  <c r="J16" s="1"/>
  <c r="H17"/>
  <c r="I17"/>
  <c r="J17"/>
  <c r="H18"/>
  <c r="I18"/>
  <c r="J18" s="1"/>
  <c r="H19"/>
  <c r="I19"/>
  <c r="J19"/>
  <c r="H20"/>
  <c r="I20"/>
  <c r="J20" s="1"/>
  <c r="H21"/>
  <c r="I21"/>
  <c r="J21"/>
  <c r="H22"/>
  <c r="I22"/>
  <c r="J22" s="1"/>
  <c r="H23"/>
  <c r="I23"/>
  <c r="J23"/>
  <c r="H24"/>
  <c r="I24"/>
  <c r="J24" s="1"/>
  <c r="H25"/>
  <c r="I25"/>
  <c r="J25"/>
  <c r="H26"/>
  <c r="I26"/>
  <c r="J26" s="1"/>
  <c r="H27"/>
  <c r="I27"/>
  <c r="J27"/>
  <c r="H28"/>
  <c r="I28"/>
  <c r="J28" s="1"/>
  <c r="H29"/>
  <c r="I29"/>
  <c r="J29"/>
  <c r="H30"/>
  <c r="I30"/>
  <c r="J30" s="1"/>
  <c r="H31"/>
  <c r="I31"/>
  <c r="J31"/>
  <c r="H32"/>
  <c r="I32"/>
  <c r="J32" s="1"/>
  <c r="H33"/>
  <c r="I33"/>
  <c r="J33"/>
  <c r="H34"/>
  <c r="I34"/>
  <c r="J34" s="1"/>
  <c r="H35"/>
  <c r="I35"/>
  <c r="J35"/>
  <c r="H36"/>
  <c r="I36"/>
  <c r="J36" s="1"/>
  <c r="H37"/>
  <c r="I37"/>
  <c r="J37"/>
  <c r="H38"/>
  <c r="I38"/>
  <c r="J38" s="1"/>
  <c r="H39"/>
  <c r="I39"/>
  <c r="J39"/>
  <c r="H40"/>
  <c r="I40"/>
  <c r="J40" s="1"/>
  <c r="H41"/>
  <c r="I41"/>
  <c r="J41"/>
  <c r="H42"/>
  <c r="I42"/>
  <c r="J42" s="1"/>
  <c r="H43"/>
  <c r="I43"/>
  <c r="J43"/>
  <c r="H44"/>
  <c r="I44"/>
  <c r="J44" s="1"/>
  <c r="H45"/>
  <c r="I45"/>
  <c r="J45"/>
  <c r="H46"/>
  <c r="I46"/>
  <c r="J46" s="1"/>
  <c r="H47"/>
  <c r="I47"/>
  <c r="J47"/>
  <c r="H48"/>
  <c r="I48"/>
  <c r="J48" s="1"/>
  <c r="H49"/>
  <c r="I49"/>
  <c r="J49"/>
  <c r="H50"/>
  <c r="I50"/>
  <c r="J50" s="1"/>
  <c r="H51"/>
  <c r="I51"/>
  <c r="J51"/>
  <c r="H52"/>
  <c r="I52"/>
  <c r="J52" s="1"/>
  <c r="H53"/>
  <c r="I53"/>
  <c r="J53"/>
  <c r="H54"/>
  <c r="I54"/>
  <c r="J54" s="1"/>
  <c r="H55"/>
  <c r="I55"/>
  <c r="J55"/>
  <c r="H56"/>
  <c r="I56"/>
  <c r="J56" s="1"/>
  <c r="H57"/>
  <c r="I57"/>
  <c r="J57"/>
  <c r="H58"/>
  <c r="I58"/>
  <c r="J58" s="1"/>
  <c r="H59"/>
  <c r="I59"/>
  <c r="J59"/>
  <c r="H60"/>
  <c r="I60"/>
  <c r="J60" s="1"/>
  <c r="H61"/>
  <c r="I61"/>
  <c r="J61"/>
  <c r="H62"/>
  <c r="I62"/>
  <c r="J62" s="1"/>
  <c r="H63"/>
  <c r="I63"/>
  <c r="J63"/>
  <c r="H64"/>
  <c r="I64"/>
  <c r="J64" s="1"/>
  <c r="H65"/>
  <c r="I65"/>
  <c r="J65"/>
  <c r="H66"/>
  <c r="I66"/>
  <c r="J66" s="1"/>
  <c r="H67"/>
  <c r="I67"/>
  <c r="J67"/>
  <c r="H68"/>
  <c r="I68"/>
  <c r="J68" s="1"/>
  <c r="H69"/>
  <c r="I69"/>
  <c r="J69"/>
  <c r="H70"/>
  <c r="I70"/>
  <c r="J70" s="1"/>
  <c r="H71"/>
  <c r="I71"/>
  <c r="J71"/>
  <c r="H72"/>
  <c r="I72"/>
  <c r="J72" s="1"/>
  <c r="H73"/>
  <c r="I73"/>
  <c r="J73"/>
  <c r="H74"/>
  <c r="I74"/>
  <c r="J74" s="1"/>
  <c r="H75"/>
  <c r="I75"/>
  <c r="J75"/>
  <c r="H76"/>
  <c r="I76"/>
  <c r="J76" s="1"/>
  <c r="H77"/>
  <c r="I77"/>
  <c r="J77"/>
  <c r="H78"/>
  <c r="I78"/>
  <c r="J78" s="1"/>
  <c r="H79"/>
  <c r="I79"/>
  <c r="J79"/>
  <c r="H80"/>
  <c r="I80"/>
  <c r="J80" s="1"/>
  <c r="H81"/>
  <c r="I81"/>
  <c r="J81"/>
  <c r="H82"/>
  <c r="I82"/>
  <c r="J82" s="1"/>
  <c r="H83"/>
  <c r="J83" s="1"/>
  <c r="I83"/>
  <c r="H84"/>
  <c r="I84"/>
  <c r="J84" s="1"/>
  <c r="H85"/>
  <c r="J85" s="1"/>
  <c r="I85"/>
  <c r="H86"/>
  <c r="I86"/>
  <c r="J86" s="1"/>
  <c r="H87"/>
  <c r="I87"/>
  <c r="J87"/>
  <c r="H88"/>
  <c r="I88"/>
  <c r="J88" s="1"/>
  <c r="H89"/>
  <c r="I89"/>
  <c r="J89"/>
  <c r="H90"/>
  <c r="I90"/>
  <c r="J90" s="1"/>
  <c r="H91"/>
  <c r="J91" s="1"/>
  <c r="I91"/>
  <c r="H92"/>
  <c r="I92"/>
  <c r="J92" s="1"/>
  <c r="H93"/>
  <c r="I93"/>
  <c r="J93"/>
  <c r="H94"/>
  <c r="I94"/>
  <c r="J94" s="1"/>
  <c r="H95"/>
  <c r="I95"/>
  <c r="J95"/>
  <c r="H96"/>
  <c r="I96"/>
  <c r="J96" s="1"/>
  <c r="H97"/>
  <c r="I97"/>
  <c r="J97"/>
  <c r="H98"/>
  <c r="I98"/>
  <c r="J98" s="1"/>
  <c r="H99"/>
  <c r="I99"/>
  <c r="J99"/>
  <c r="H100"/>
  <c r="I100"/>
  <c r="J100" s="1"/>
  <c r="H101"/>
  <c r="I101"/>
  <c r="J101"/>
  <c r="H102"/>
  <c r="I102"/>
  <c r="J102" s="1"/>
  <c r="H103"/>
  <c r="I103"/>
  <c r="J103"/>
  <c r="H104"/>
  <c r="I104"/>
  <c r="J104" s="1"/>
  <c r="H105"/>
  <c r="I105"/>
  <c r="J105"/>
  <c r="H106"/>
  <c r="I106"/>
  <c r="J106" s="1"/>
  <c r="H107"/>
  <c r="I107"/>
  <c r="J107"/>
  <c r="H108"/>
  <c r="I108"/>
  <c r="J108" s="1"/>
  <c r="H110"/>
  <c r="I110"/>
  <c r="J110" s="1"/>
  <c r="J109"/>
  <c r="I109"/>
  <c r="H109"/>
  <c r="F110"/>
  <c r="J5" i="4"/>
  <c r="J6"/>
  <c r="J7"/>
  <c r="J8"/>
  <c r="J9"/>
  <c r="J10"/>
  <c r="J11"/>
  <c r="J12"/>
  <c r="J13"/>
  <c r="J14"/>
  <c r="J15"/>
  <c r="J16"/>
  <c r="J17"/>
  <c r="J18"/>
  <c r="J19"/>
  <c r="J20"/>
  <c r="J21"/>
  <c r="J22"/>
  <c r="J23"/>
  <c r="J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4"/>
  <c r="F3" i="1" l="1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2"/>
  <c r="F3" i="2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2"/>
  <c r="F3" i="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2"/>
  <c r="F5" i="4"/>
  <c r="F6"/>
  <c r="F7"/>
  <c r="F8"/>
  <c r="F9"/>
  <c r="F10"/>
  <c r="F11"/>
  <c r="F12"/>
  <c r="F13"/>
  <c r="F14"/>
  <c r="F15"/>
  <c r="F16"/>
  <c r="F17"/>
  <c r="F18"/>
  <c r="F19"/>
  <c r="F20"/>
  <c r="F21"/>
  <c r="F22"/>
  <c r="F23"/>
  <c r="F4"/>
</calcChain>
</file>

<file path=xl/sharedStrings.xml><?xml version="1.0" encoding="utf-8"?>
<sst xmlns="http://schemas.openxmlformats.org/spreadsheetml/2006/main" count="377" uniqueCount="86">
  <si>
    <t>Sl.No</t>
  </si>
  <si>
    <t>Items</t>
  </si>
  <si>
    <t>Code</t>
  </si>
  <si>
    <t>Mrp</t>
  </si>
  <si>
    <t>Qty</t>
  </si>
  <si>
    <t>prtd dpta</t>
  </si>
  <si>
    <t>ctn dpta</t>
  </si>
  <si>
    <t>Dpta</t>
  </si>
  <si>
    <t>Chndri dpta</t>
  </si>
  <si>
    <t>Orgnza</t>
  </si>
  <si>
    <t>Jkr dpta</t>
  </si>
  <si>
    <t>Banarasi</t>
  </si>
  <si>
    <t>chandri embd</t>
  </si>
  <si>
    <t>Dybl dpta</t>
  </si>
  <si>
    <t>chandri dpta</t>
  </si>
  <si>
    <t>orgnza chk</t>
  </si>
  <si>
    <t>orgnza</t>
  </si>
  <si>
    <t>cf chk</t>
  </si>
  <si>
    <t>Ggt fncy</t>
  </si>
  <si>
    <t>orgnza dyd</t>
  </si>
  <si>
    <t>orgnza strps</t>
  </si>
  <si>
    <t>orgnza dpta</t>
  </si>
  <si>
    <t>Chndri embd</t>
  </si>
  <si>
    <t>Mdl dpta</t>
  </si>
  <si>
    <t>Mdl slk dpta</t>
  </si>
  <si>
    <t>Ajrk dpta</t>
  </si>
  <si>
    <t>chfn h/w</t>
  </si>
  <si>
    <t xml:space="preserve">orgnza </t>
  </si>
  <si>
    <t>orgnza dybl</t>
  </si>
  <si>
    <t>orgnza  dybl</t>
  </si>
  <si>
    <t xml:space="preserve">ggt </t>
  </si>
  <si>
    <t>ctn dybl</t>
  </si>
  <si>
    <t>ctn tu</t>
  </si>
  <si>
    <t>chndri tu</t>
  </si>
  <si>
    <t>ktn srp</t>
  </si>
  <si>
    <t>chndri</t>
  </si>
  <si>
    <t>Trd dpta</t>
  </si>
  <si>
    <t>Ggt</t>
  </si>
  <si>
    <t>ggt</t>
  </si>
  <si>
    <t>tu chndri</t>
  </si>
  <si>
    <t>GGT</t>
  </si>
  <si>
    <t>CHFN HW</t>
  </si>
  <si>
    <t>GGT FNCY</t>
  </si>
  <si>
    <t>MDL DPT</t>
  </si>
  <si>
    <t>MDL SLK</t>
  </si>
  <si>
    <t>ORGZA CHK</t>
  </si>
  <si>
    <t xml:space="preserve">CTN </t>
  </si>
  <si>
    <t>ORGZA DYBL</t>
  </si>
  <si>
    <t>CHNDRI</t>
  </si>
  <si>
    <t>ORGNZA</t>
  </si>
  <si>
    <t>BANARSI</t>
  </si>
  <si>
    <t>PRTD</t>
  </si>
  <si>
    <t>CHRI TU</t>
  </si>
  <si>
    <t>DPT</t>
  </si>
  <si>
    <t>CTN PRTD</t>
  </si>
  <si>
    <t>CTN KTA PRTD</t>
  </si>
  <si>
    <t>CTN DPT</t>
  </si>
  <si>
    <t>CTN</t>
  </si>
  <si>
    <t>CN KTA PRTD</t>
  </si>
  <si>
    <t>ORGZA SRP</t>
  </si>
  <si>
    <t>CT CHK ZAI</t>
  </si>
  <si>
    <t>ctn</t>
  </si>
  <si>
    <t>ORGNZA DYBL</t>
  </si>
  <si>
    <t xml:space="preserve">ORGNZA </t>
  </si>
  <si>
    <t>ORGNZA DPT</t>
  </si>
  <si>
    <t>CTN DYBL</t>
  </si>
  <si>
    <t>Dybl dpt</t>
  </si>
  <si>
    <t>orgnza prtd</t>
  </si>
  <si>
    <t>dpt</t>
  </si>
  <si>
    <t>orgnza srp</t>
  </si>
  <si>
    <t>chri zai</t>
  </si>
  <si>
    <t>orgnza dpt</t>
  </si>
  <si>
    <t>cf chk zri</t>
  </si>
  <si>
    <t>ct chk zri</t>
  </si>
  <si>
    <t>chndri embd</t>
  </si>
  <si>
    <t>tu dpt</t>
  </si>
  <si>
    <t>chndri zri</t>
  </si>
  <si>
    <t>orgnza zai</t>
  </si>
  <si>
    <t>zri srp</t>
  </si>
  <si>
    <t>orgnza sp</t>
  </si>
  <si>
    <t>orgnza zri</t>
  </si>
  <si>
    <t>kt chk zri</t>
  </si>
  <si>
    <t>NEW MRP EXCLUDING GST</t>
  </si>
  <si>
    <t xml:space="preserve">TAXABLE </t>
  </si>
  <si>
    <t>TAX</t>
  </si>
  <si>
    <t>MRP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</si>
</sst>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J110"/>
  <sheetViews>
    <sheetView tabSelected="1" workbookViewId="0">
      <selection activeCell="L12" sqref="L12"/>
    </sheetView>
  </sheetViews>
  <sheetFormatPr defaultRowHeight="15"/>
  <cols>
    <col min="1" max="1" width="7.28515625" customWidth="1"/>
    <col min="2" max="2" width="19.28515625" customWidth="1"/>
    <col min="3" max="3" width="11.5703125" customWidth="1"/>
    <col min="4" max="4" width="10.85546875" customWidth="1"/>
    <col min="6" max="6" width="28.28515625" customWidth="1"/>
    <col min="10" max="10" width="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82</v>
      </c>
      <c r="H1" t="s">
        <v>83</v>
      </c>
      <c r="I1" t="s">
        <v>84</v>
      </c>
      <c r="J1" t="s">
        <v>85</v>
      </c>
    </row>
    <row r="2" spans="1:10">
      <c r="B2" t="s">
        <v>5</v>
      </c>
      <c r="C2">
        <v>4217</v>
      </c>
      <c r="D2">
        <v>265</v>
      </c>
      <c r="F2">
        <f>ROUND(IF(D2&gt;2500, D2/1.18, D2/1.05),2)</f>
        <v>252.38</v>
      </c>
      <c r="H2">
        <f t="shared" ref="H2:H65" si="0">D2/1.05</f>
        <v>252.38095238095238</v>
      </c>
      <c r="I2">
        <f t="shared" ref="I2:I65" si="1">D2-F2</f>
        <v>12.620000000000005</v>
      </c>
      <c r="J2" s="1">
        <f t="shared" ref="J2:J65" si="2">SUM(H2:I2)</f>
        <v>265.00095238095241</v>
      </c>
    </row>
    <row r="3" spans="1:10">
      <c r="B3" t="s">
        <v>5</v>
      </c>
      <c r="C3">
        <v>4216</v>
      </c>
      <c r="D3">
        <v>275</v>
      </c>
      <c r="E3">
        <v>13</v>
      </c>
      <c r="F3">
        <f t="shared" ref="F3:F66" si="3">ROUND(IF(D3&gt;2500, D3/1.18, D3/1.05),2)</f>
        <v>261.89999999999998</v>
      </c>
      <c r="H3">
        <f t="shared" si="0"/>
        <v>261.90476190476187</v>
      </c>
      <c r="I3">
        <f t="shared" si="1"/>
        <v>13.100000000000023</v>
      </c>
      <c r="J3" s="1">
        <f t="shared" si="2"/>
        <v>275.00476190476189</v>
      </c>
    </row>
    <row r="4" spans="1:10">
      <c r="B4" t="s">
        <v>5</v>
      </c>
      <c r="C4">
        <v>3934</v>
      </c>
      <c r="D4">
        <v>425</v>
      </c>
      <c r="E4">
        <v>19</v>
      </c>
      <c r="F4">
        <f t="shared" si="3"/>
        <v>404.76</v>
      </c>
      <c r="H4">
        <f t="shared" si="0"/>
        <v>404.76190476190476</v>
      </c>
      <c r="I4">
        <f t="shared" si="1"/>
        <v>20.240000000000009</v>
      </c>
      <c r="J4" s="1">
        <f t="shared" si="2"/>
        <v>425.00190476190477</v>
      </c>
    </row>
    <row r="5" spans="1:10">
      <c r="B5" t="s">
        <v>6</v>
      </c>
      <c r="C5">
        <v>3842</v>
      </c>
      <c r="D5">
        <v>350</v>
      </c>
      <c r="F5">
        <f t="shared" si="3"/>
        <v>333.33</v>
      </c>
      <c r="H5">
        <f t="shared" si="0"/>
        <v>333.33333333333331</v>
      </c>
      <c r="I5">
        <f t="shared" si="1"/>
        <v>16.670000000000016</v>
      </c>
      <c r="J5" s="1">
        <f t="shared" si="2"/>
        <v>350.00333333333333</v>
      </c>
    </row>
    <row r="6" spans="1:10">
      <c r="B6" t="s">
        <v>5</v>
      </c>
      <c r="C6">
        <v>4217</v>
      </c>
      <c r="D6">
        <v>265</v>
      </c>
      <c r="E6">
        <v>3</v>
      </c>
      <c r="F6">
        <f t="shared" si="3"/>
        <v>252.38</v>
      </c>
      <c r="H6">
        <f t="shared" si="0"/>
        <v>252.38095238095238</v>
      </c>
      <c r="I6">
        <f t="shared" si="1"/>
        <v>12.620000000000005</v>
      </c>
      <c r="J6" s="1">
        <f t="shared" si="2"/>
        <v>265.00095238095241</v>
      </c>
    </row>
    <row r="7" spans="1:10">
      <c r="B7" t="s">
        <v>6</v>
      </c>
      <c r="C7">
        <v>3934</v>
      </c>
      <c r="D7">
        <v>425</v>
      </c>
      <c r="E7">
        <v>11</v>
      </c>
      <c r="F7">
        <f t="shared" si="3"/>
        <v>404.76</v>
      </c>
      <c r="H7">
        <f t="shared" si="0"/>
        <v>404.76190476190476</v>
      </c>
      <c r="I7">
        <f t="shared" si="1"/>
        <v>20.240000000000009</v>
      </c>
      <c r="J7" s="1">
        <f t="shared" si="2"/>
        <v>425.00190476190477</v>
      </c>
    </row>
    <row r="8" spans="1:10">
      <c r="B8" t="s">
        <v>6</v>
      </c>
      <c r="C8">
        <v>4216</v>
      </c>
      <c r="D8">
        <v>275</v>
      </c>
      <c r="E8">
        <v>3</v>
      </c>
      <c r="F8">
        <f t="shared" si="3"/>
        <v>261.89999999999998</v>
      </c>
      <c r="H8">
        <f t="shared" si="0"/>
        <v>261.90476190476187</v>
      </c>
      <c r="I8">
        <f t="shared" si="1"/>
        <v>13.100000000000023</v>
      </c>
      <c r="J8" s="1">
        <f t="shared" si="2"/>
        <v>275.00476190476189</v>
      </c>
    </row>
    <row r="9" spans="1:10">
      <c r="B9" t="s">
        <v>6</v>
      </c>
      <c r="C9">
        <v>427</v>
      </c>
      <c r="D9">
        <v>995</v>
      </c>
      <c r="E9">
        <v>4</v>
      </c>
      <c r="F9">
        <f t="shared" si="3"/>
        <v>947.62</v>
      </c>
      <c r="H9">
        <f t="shared" si="0"/>
        <v>947.61904761904759</v>
      </c>
      <c r="I9">
        <f t="shared" si="1"/>
        <v>47.379999999999995</v>
      </c>
      <c r="J9" s="1">
        <f t="shared" si="2"/>
        <v>994.99904761904759</v>
      </c>
    </row>
    <row r="10" spans="1:10">
      <c r="B10" t="s">
        <v>7</v>
      </c>
      <c r="C10">
        <v>4219</v>
      </c>
      <c r="D10">
        <v>395</v>
      </c>
      <c r="F10">
        <f t="shared" si="3"/>
        <v>376.19</v>
      </c>
      <c r="H10">
        <f t="shared" si="0"/>
        <v>376.19047619047615</v>
      </c>
      <c r="I10">
        <f t="shared" si="1"/>
        <v>18.810000000000002</v>
      </c>
      <c r="J10" s="1">
        <f t="shared" si="2"/>
        <v>395.00047619047615</v>
      </c>
    </row>
    <row r="11" spans="1:10">
      <c r="B11" t="s">
        <v>8</v>
      </c>
      <c r="C11">
        <v>4246</v>
      </c>
      <c r="D11">
        <v>365</v>
      </c>
      <c r="F11">
        <f t="shared" si="3"/>
        <v>347.62</v>
      </c>
      <c r="H11">
        <f t="shared" si="0"/>
        <v>347.61904761904759</v>
      </c>
      <c r="I11">
        <f t="shared" si="1"/>
        <v>17.379999999999995</v>
      </c>
      <c r="J11" s="1">
        <f t="shared" si="2"/>
        <v>364.99904761904759</v>
      </c>
    </row>
    <row r="12" spans="1:10">
      <c r="B12" t="s">
        <v>9</v>
      </c>
      <c r="C12">
        <v>4226</v>
      </c>
      <c r="D12">
        <v>375</v>
      </c>
      <c r="F12">
        <f t="shared" si="3"/>
        <v>357.14</v>
      </c>
      <c r="H12">
        <f t="shared" si="0"/>
        <v>357.14285714285711</v>
      </c>
      <c r="I12">
        <f t="shared" si="1"/>
        <v>17.860000000000014</v>
      </c>
      <c r="J12" s="1">
        <f t="shared" si="2"/>
        <v>375.00285714285712</v>
      </c>
    </row>
    <row r="13" spans="1:10">
      <c r="B13" t="s">
        <v>7</v>
      </c>
      <c r="C13">
        <v>4220</v>
      </c>
      <c r="D13">
        <v>425</v>
      </c>
      <c r="F13">
        <f t="shared" si="3"/>
        <v>404.76</v>
      </c>
      <c r="H13">
        <f t="shared" si="0"/>
        <v>404.76190476190476</v>
      </c>
      <c r="I13">
        <f t="shared" si="1"/>
        <v>20.240000000000009</v>
      </c>
      <c r="J13" s="1">
        <f t="shared" si="2"/>
        <v>425.00190476190477</v>
      </c>
    </row>
    <row r="14" spans="1:10">
      <c r="B14" t="s">
        <v>10</v>
      </c>
      <c r="C14">
        <v>1217</v>
      </c>
      <c r="D14">
        <v>295</v>
      </c>
      <c r="F14">
        <f t="shared" si="3"/>
        <v>280.95</v>
      </c>
      <c r="H14">
        <f t="shared" si="0"/>
        <v>280.95238095238096</v>
      </c>
      <c r="I14">
        <f t="shared" si="1"/>
        <v>14.050000000000011</v>
      </c>
      <c r="J14" s="1">
        <f t="shared" si="2"/>
        <v>295.00238095238097</v>
      </c>
    </row>
    <row r="15" spans="1:10">
      <c r="B15" t="s">
        <v>11</v>
      </c>
      <c r="C15">
        <v>4248</v>
      </c>
      <c r="D15">
        <v>875</v>
      </c>
      <c r="F15">
        <f t="shared" si="3"/>
        <v>833.33</v>
      </c>
      <c r="H15">
        <f t="shared" si="0"/>
        <v>833.33333333333326</v>
      </c>
      <c r="I15">
        <f t="shared" si="1"/>
        <v>41.669999999999959</v>
      </c>
      <c r="J15" s="1">
        <f t="shared" si="2"/>
        <v>875.00333333333322</v>
      </c>
    </row>
    <row r="16" spans="1:10">
      <c r="B16" t="s">
        <v>11</v>
      </c>
      <c r="C16">
        <v>4248</v>
      </c>
      <c r="D16">
        <v>875</v>
      </c>
      <c r="F16">
        <f t="shared" si="3"/>
        <v>833.33</v>
      </c>
      <c r="H16">
        <f t="shared" si="0"/>
        <v>833.33333333333326</v>
      </c>
      <c r="I16">
        <f t="shared" si="1"/>
        <v>41.669999999999959</v>
      </c>
      <c r="J16" s="1">
        <f t="shared" si="2"/>
        <v>875.00333333333322</v>
      </c>
    </row>
    <row r="17" spans="2:10">
      <c r="B17" t="s">
        <v>12</v>
      </c>
      <c r="C17">
        <v>4224</v>
      </c>
      <c r="D17">
        <v>595</v>
      </c>
      <c r="F17">
        <f t="shared" si="3"/>
        <v>566.66999999999996</v>
      </c>
      <c r="H17">
        <f t="shared" si="0"/>
        <v>566.66666666666663</v>
      </c>
      <c r="I17">
        <f t="shared" si="1"/>
        <v>28.330000000000041</v>
      </c>
      <c r="J17" s="1">
        <f t="shared" si="2"/>
        <v>594.99666666666667</v>
      </c>
    </row>
    <row r="18" spans="2:10">
      <c r="B18" t="s">
        <v>8</v>
      </c>
      <c r="C18">
        <v>3600</v>
      </c>
      <c r="D18">
        <v>545</v>
      </c>
      <c r="F18">
        <f t="shared" si="3"/>
        <v>519.04999999999995</v>
      </c>
      <c r="H18">
        <f t="shared" si="0"/>
        <v>519.04761904761904</v>
      </c>
      <c r="I18">
        <f t="shared" si="1"/>
        <v>25.950000000000045</v>
      </c>
      <c r="J18" s="1">
        <f t="shared" si="2"/>
        <v>544.99761904761908</v>
      </c>
    </row>
    <row r="19" spans="2:10">
      <c r="B19" t="s">
        <v>13</v>
      </c>
      <c r="C19">
        <v>5646</v>
      </c>
      <c r="D19">
        <v>265</v>
      </c>
      <c r="F19">
        <f t="shared" si="3"/>
        <v>252.38</v>
      </c>
      <c r="H19">
        <f t="shared" si="0"/>
        <v>252.38095238095238</v>
      </c>
      <c r="I19">
        <f t="shared" si="1"/>
        <v>12.620000000000005</v>
      </c>
      <c r="J19" s="1">
        <f t="shared" si="2"/>
        <v>265.00095238095241</v>
      </c>
    </row>
    <row r="20" spans="2:10">
      <c r="B20" t="s">
        <v>14</v>
      </c>
      <c r="C20">
        <v>4236</v>
      </c>
      <c r="D20">
        <v>365</v>
      </c>
      <c r="F20">
        <f t="shared" si="3"/>
        <v>347.62</v>
      </c>
      <c r="H20">
        <f t="shared" si="0"/>
        <v>347.61904761904759</v>
      </c>
      <c r="I20">
        <f t="shared" si="1"/>
        <v>17.379999999999995</v>
      </c>
      <c r="J20" s="1">
        <f t="shared" si="2"/>
        <v>364.99904761904759</v>
      </c>
    </row>
    <row r="21" spans="2:10">
      <c r="B21" t="s">
        <v>7</v>
      </c>
      <c r="C21">
        <v>4219</v>
      </c>
      <c r="D21">
        <v>395</v>
      </c>
      <c r="F21">
        <f t="shared" si="3"/>
        <v>376.19</v>
      </c>
      <c r="H21">
        <f t="shared" si="0"/>
        <v>376.19047619047615</v>
      </c>
      <c r="I21">
        <f t="shared" si="1"/>
        <v>18.810000000000002</v>
      </c>
      <c r="J21" s="1">
        <f t="shared" si="2"/>
        <v>395.00047619047615</v>
      </c>
    </row>
    <row r="22" spans="2:10">
      <c r="B22" t="s">
        <v>14</v>
      </c>
      <c r="C22">
        <v>4224</v>
      </c>
      <c r="D22">
        <v>595</v>
      </c>
      <c r="F22">
        <f t="shared" si="3"/>
        <v>566.66999999999996</v>
      </c>
      <c r="H22">
        <f t="shared" si="0"/>
        <v>566.66666666666663</v>
      </c>
      <c r="I22">
        <f t="shared" si="1"/>
        <v>28.330000000000041</v>
      </c>
      <c r="J22" s="1">
        <f t="shared" si="2"/>
        <v>594.99666666666667</v>
      </c>
    </row>
    <row r="23" spans="2:10">
      <c r="B23" t="s">
        <v>15</v>
      </c>
      <c r="C23">
        <v>4227</v>
      </c>
      <c r="D23">
        <v>365</v>
      </c>
      <c r="F23">
        <f t="shared" si="3"/>
        <v>347.62</v>
      </c>
      <c r="H23">
        <f t="shared" si="0"/>
        <v>347.61904761904759</v>
      </c>
      <c r="I23">
        <f t="shared" si="1"/>
        <v>17.379999999999995</v>
      </c>
      <c r="J23" s="1">
        <f t="shared" si="2"/>
        <v>364.99904761904759</v>
      </c>
    </row>
    <row r="24" spans="2:10">
      <c r="B24" t="s">
        <v>15</v>
      </c>
      <c r="C24">
        <v>4227</v>
      </c>
      <c r="D24">
        <v>365</v>
      </c>
      <c r="F24">
        <f t="shared" si="3"/>
        <v>347.62</v>
      </c>
      <c r="H24">
        <f t="shared" si="0"/>
        <v>347.61904761904759</v>
      </c>
      <c r="I24">
        <f t="shared" si="1"/>
        <v>17.379999999999995</v>
      </c>
      <c r="J24" s="1">
        <f t="shared" si="2"/>
        <v>364.99904761904759</v>
      </c>
    </row>
    <row r="25" spans="2:10">
      <c r="B25" t="s">
        <v>6</v>
      </c>
      <c r="C25">
        <v>4226</v>
      </c>
      <c r="D25">
        <v>265</v>
      </c>
      <c r="F25">
        <f t="shared" si="3"/>
        <v>252.38</v>
      </c>
      <c r="H25">
        <f t="shared" si="0"/>
        <v>252.38095238095238</v>
      </c>
      <c r="I25">
        <f t="shared" si="1"/>
        <v>12.620000000000005</v>
      </c>
      <c r="J25" s="1">
        <f t="shared" si="2"/>
        <v>265.00095238095241</v>
      </c>
    </row>
    <row r="26" spans="2:10">
      <c r="B26" t="s">
        <v>7</v>
      </c>
      <c r="C26">
        <v>4219</v>
      </c>
      <c r="D26">
        <v>395</v>
      </c>
      <c r="F26">
        <f t="shared" si="3"/>
        <v>376.19</v>
      </c>
      <c r="H26">
        <f t="shared" si="0"/>
        <v>376.19047619047615</v>
      </c>
      <c r="I26">
        <f t="shared" si="1"/>
        <v>18.810000000000002</v>
      </c>
      <c r="J26" s="1">
        <f t="shared" si="2"/>
        <v>395.00047619047615</v>
      </c>
    </row>
    <row r="27" spans="2:10">
      <c r="B27" t="s">
        <v>16</v>
      </c>
      <c r="C27">
        <v>4230</v>
      </c>
      <c r="D27">
        <v>375</v>
      </c>
      <c r="F27">
        <f t="shared" si="3"/>
        <v>357.14</v>
      </c>
      <c r="H27">
        <f t="shared" si="0"/>
        <v>357.14285714285711</v>
      </c>
      <c r="I27">
        <f t="shared" si="1"/>
        <v>17.860000000000014</v>
      </c>
      <c r="J27" s="1">
        <f t="shared" si="2"/>
        <v>375.00285714285712</v>
      </c>
    </row>
    <row r="28" spans="2:10">
      <c r="B28" t="s">
        <v>17</v>
      </c>
      <c r="C28">
        <v>4225</v>
      </c>
      <c r="D28">
        <v>365</v>
      </c>
      <c r="F28">
        <f t="shared" si="3"/>
        <v>347.62</v>
      </c>
      <c r="H28">
        <f t="shared" si="0"/>
        <v>347.61904761904759</v>
      </c>
      <c r="I28">
        <f t="shared" si="1"/>
        <v>17.379999999999995</v>
      </c>
      <c r="J28" s="1">
        <f t="shared" si="2"/>
        <v>364.99904761904759</v>
      </c>
    </row>
    <row r="29" spans="2:10">
      <c r="B29" t="s">
        <v>17</v>
      </c>
      <c r="C29">
        <v>4225</v>
      </c>
      <c r="D29">
        <v>365</v>
      </c>
      <c r="F29">
        <f t="shared" si="3"/>
        <v>347.62</v>
      </c>
      <c r="H29">
        <f t="shared" si="0"/>
        <v>347.61904761904759</v>
      </c>
      <c r="I29">
        <f t="shared" si="1"/>
        <v>17.379999999999995</v>
      </c>
      <c r="J29" s="1">
        <f t="shared" si="2"/>
        <v>364.99904761904759</v>
      </c>
    </row>
    <row r="30" spans="2:10">
      <c r="B30" t="s">
        <v>7</v>
      </c>
      <c r="C30">
        <v>4220</v>
      </c>
      <c r="D30">
        <v>425</v>
      </c>
      <c r="F30">
        <f t="shared" si="3"/>
        <v>404.76</v>
      </c>
      <c r="H30">
        <f t="shared" si="0"/>
        <v>404.76190476190476</v>
      </c>
      <c r="I30">
        <f t="shared" si="1"/>
        <v>20.240000000000009</v>
      </c>
      <c r="J30" s="1">
        <f t="shared" si="2"/>
        <v>425.00190476190477</v>
      </c>
    </row>
    <row r="31" spans="2:10">
      <c r="B31" t="s">
        <v>17</v>
      </c>
      <c r="C31">
        <v>4225</v>
      </c>
      <c r="D31">
        <v>365</v>
      </c>
      <c r="F31">
        <f t="shared" si="3"/>
        <v>347.62</v>
      </c>
      <c r="H31">
        <f t="shared" si="0"/>
        <v>347.61904761904759</v>
      </c>
      <c r="I31">
        <f t="shared" si="1"/>
        <v>17.379999999999995</v>
      </c>
      <c r="J31" s="1">
        <f t="shared" si="2"/>
        <v>364.99904761904759</v>
      </c>
    </row>
    <row r="32" spans="2:10">
      <c r="B32" t="s">
        <v>7</v>
      </c>
      <c r="C32">
        <v>4219</v>
      </c>
      <c r="D32">
        <v>395</v>
      </c>
      <c r="F32">
        <f t="shared" si="3"/>
        <v>376.19</v>
      </c>
      <c r="H32">
        <f t="shared" si="0"/>
        <v>376.19047619047615</v>
      </c>
      <c r="I32">
        <f t="shared" si="1"/>
        <v>18.810000000000002</v>
      </c>
      <c r="J32" s="1">
        <f t="shared" si="2"/>
        <v>395.00047619047615</v>
      </c>
    </row>
    <row r="33" spans="2:10">
      <c r="B33" t="s">
        <v>8</v>
      </c>
      <c r="C33">
        <v>4236</v>
      </c>
      <c r="D33">
        <v>365</v>
      </c>
      <c r="F33">
        <f t="shared" si="3"/>
        <v>347.62</v>
      </c>
      <c r="H33">
        <f t="shared" si="0"/>
        <v>347.61904761904759</v>
      </c>
      <c r="I33">
        <f t="shared" si="1"/>
        <v>17.379999999999995</v>
      </c>
      <c r="J33" s="1">
        <f t="shared" si="2"/>
        <v>364.99904761904759</v>
      </c>
    </row>
    <row r="34" spans="2:10">
      <c r="B34" t="s">
        <v>16</v>
      </c>
      <c r="C34">
        <v>4226</v>
      </c>
      <c r="D34">
        <v>375</v>
      </c>
      <c r="F34">
        <f t="shared" si="3"/>
        <v>357.14</v>
      </c>
      <c r="H34">
        <f t="shared" si="0"/>
        <v>357.14285714285711</v>
      </c>
      <c r="I34">
        <f t="shared" si="1"/>
        <v>17.860000000000014</v>
      </c>
      <c r="J34" s="1">
        <f t="shared" si="2"/>
        <v>375.00285714285712</v>
      </c>
    </row>
    <row r="35" spans="2:10">
      <c r="B35" t="s">
        <v>15</v>
      </c>
      <c r="C35">
        <v>4227</v>
      </c>
      <c r="D35">
        <v>365</v>
      </c>
      <c r="F35">
        <f t="shared" si="3"/>
        <v>347.62</v>
      </c>
      <c r="H35">
        <f t="shared" si="0"/>
        <v>347.61904761904759</v>
      </c>
      <c r="I35">
        <f t="shared" si="1"/>
        <v>17.379999999999995</v>
      </c>
      <c r="J35" s="1">
        <f t="shared" si="2"/>
        <v>364.99904761904759</v>
      </c>
    </row>
    <row r="36" spans="2:10">
      <c r="B36" t="s">
        <v>18</v>
      </c>
      <c r="C36">
        <v>5530</v>
      </c>
      <c r="D36">
        <v>1825</v>
      </c>
      <c r="E36">
        <v>2</v>
      </c>
      <c r="F36">
        <f t="shared" si="3"/>
        <v>1738.1</v>
      </c>
      <c r="H36">
        <f t="shared" si="0"/>
        <v>1738.0952380952381</v>
      </c>
      <c r="I36">
        <f t="shared" si="1"/>
        <v>86.900000000000091</v>
      </c>
      <c r="J36" s="1">
        <f t="shared" si="2"/>
        <v>1824.9952380952382</v>
      </c>
    </row>
    <row r="37" spans="2:10">
      <c r="B37" t="s">
        <v>16</v>
      </c>
      <c r="C37">
        <v>4226</v>
      </c>
      <c r="D37">
        <v>375</v>
      </c>
      <c r="F37">
        <f t="shared" si="3"/>
        <v>357.14</v>
      </c>
      <c r="H37">
        <f t="shared" si="0"/>
        <v>357.14285714285711</v>
      </c>
      <c r="I37">
        <f t="shared" si="1"/>
        <v>17.860000000000014</v>
      </c>
      <c r="J37" s="1">
        <f t="shared" si="2"/>
        <v>375.00285714285712</v>
      </c>
    </row>
    <row r="38" spans="2:10">
      <c r="B38" t="s">
        <v>8</v>
      </c>
      <c r="C38">
        <v>4236</v>
      </c>
      <c r="D38">
        <v>365</v>
      </c>
      <c r="F38">
        <f t="shared" si="3"/>
        <v>347.62</v>
      </c>
      <c r="H38">
        <f t="shared" si="0"/>
        <v>347.61904761904759</v>
      </c>
      <c r="I38">
        <f t="shared" si="1"/>
        <v>17.379999999999995</v>
      </c>
      <c r="J38" s="1">
        <f t="shared" si="2"/>
        <v>364.99904761904759</v>
      </c>
    </row>
    <row r="39" spans="2:10">
      <c r="B39" t="s">
        <v>17</v>
      </c>
      <c r="C39">
        <v>4225</v>
      </c>
      <c r="D39">
        <v>365</v>
      </c>
      <c r="F39">
        <f t="shared" si="3"/>
        <v>347.62</v>
      </c>
      <c r="H39">
        <f t="shared" si="0"/>
        <v>347.61904761904759</v>
      </c>
      <c r="I39">
        <f t="shared" si="1"/>
        <v>17.379999999999995</v>
      </c>
      <c r="J39" s="1">
        <f t="shared" si="2"/>
        <v>364.99904761904759</v>
      </c>
    </row>
    <row r="40" spans="2:10">
      <c r="B40" t="s">
        <v>8</v>
      </c>
      <c r="C40">
        <v>4236</v>
      </c>
      <c r="D40">
        <v>365</v>
      </c>
      <c r="F40">
        <f t="shared" si="3"/>
        <v>347.62</v>
      </c>
      <c r="H40">
        <f t="shared" si="0"/>
        <v>347.61904761904759</v>
      </c>
      <c r="I40">
        <f t="shared" si="1"/>
        <v>17.379999999999995</v>
      </c>
      <c r="J40" s="1">
        <f t="shared" si="2"/>
        <v>364.99904761904759</v>
      </c>
    </row>
    <row r="41" spans="2:10">
      <c r="B41" t="s">
        <v>19</v>
      </c>
      <c r="C41">
        <v>4221</v>
      </c>
      <c r="D41">
        <v>675</v>
      </c>
      <c r="F41">
        <f t="shared" si="3"/>
        <v>642.86</v>
      </c>
      <c r="H41">
        <f t="shared" si="0"/>
        <v>642.85714285714278</v>
      </c>
      <c r="I41">
        <f t="shared" si="1"/>
        <v>32.139999999999986</v>
      </c>
      <c r="J41" s="1">
        <f t="shared" si="2"/>
        <v>674.99714285714276</v>
      </c>
    </row>
    <row r="42" spans="2:10">
      <c r="B42" t="s">
        <v>8</v>
      </c>
      <c r="C42">
        <v>4236</v>
      </c>
      <c r="D42">
        <v>365</v>
      </c>
      <c r="F42">
        <f t="shared" si="3"/>
        <v>347.62</v>
      </c>
      <c r="H42">
        <f t="shared" si="0"/>
        <v>347.61904761904759</v>
      </c>
      <c r="I42">
        <f t="shared" si="1"/>
        <v>17.379999999999995</v>
      </c>
      <c r="J42" s="1">
        <f t="shared" si="2"/>
        <v>364.99904761904759</v>
      </c>
    </row>
    <row r="43" spans="2:10">
      <c r="B43" t="s">
        <v>13</v>
      </c>
      <c r="C43">
        <v>5637</v>
      </c>
      <c r="D43">
        <v>295</v>
      </c>
      <c r="F43">
        <f t="shared" si="3"/>
        <v>280.95</v>
      </c>
      <c r="H43">
        <f t="shared" si="0"/>
        <v>280.95238095238096</v>
      </c>
      <c r="I43">
        <f t="shared" si="1"/>
        <v>14.050000000000011</v>
      </c>
      <c r="J43" s="1">
        <f t="shared" si="2"/>
        <v>295.00238095238097</v>
      </c>
    </row>
    <row r="44" spans="2:10">
      <c r="B44" t="s">
        <v>16</v>
      </c>
      <c r="C44">
        <v>4226</v>
      </c>
      <c r="D44">
        <v>375</v>
      </c>
      <c r="F44">
        <f t="shared" si="3"/>
        <v>357.14</v>
      </c>
      <c r="H44">
        <f t="shared" si="0"/>
        <v>357.14285714285711</v>
      </c>
      <c r="I44">
        <f t="shared" si="1"/>
        <v>17.860000000000014</v>
      </c>
      <c r="J44" s="1">
        <f t="shared" si="2"/>
        <v>375.00285714285712</v>
      </c>
    </row>
    <row r="45" spans="2:10">
      <c r="B45" t="s">
        <v>15</v>
      </c>
      <c r="C45">
        <v>4227</v>
      </c>
      <c r="D45">
        <v>365</v>
      </c>
      <c r="F45">
        <f t="shared" si="3"/>
        <v>347.62</v>
      </c>
      <c r="H45">
        <f t="shared" si="0"/>
        <v>347.61904761904759</v>
      </c>
      <c r="I45">
        <f t="shared" si="1"/>
        <v>17.379999999999995</v>
      </c>
      <c r="J45" s="1">
        <f t="shared" si="2"/>
        <v>364.99904761904759</v>
      </c>
    </row>
    <row r="46" spans="2:10">
      <c r="B46" t="s">
        <v>7</v>
      </c>
      <c r="C46">
        <v>4220</v>
      </c>
      <c r="D46">
        <v>425</v>
      </c>
      <c r="F46">
        <f t="shared" si="3"/>
        <v>404.76</v>
      </c>
      <c r="H46">
        <f t="shared" si="0"/>
        <v>404.76190476190476</v>
      </c>
      <c r="I46">
        <f t="shared" si="1"/>
        <v>20.240000000000009</v>
      </c>
      <c r="J46" s="1">
        <f t="shared" si="2"/>
        <v>425.00190476190477</v>
      </c>
    </row>
    <row r="47" spans="2:10">
      <c r="B47" t="s">
        <v>5</v>
      </c>
      <c r="C47">
        <v>3259</v>
      </c>
      <c r="D47">
        <v>295</v>
      </c>
      <c r="F47">
        <f t="shared" si="3"/>
        <v>280.95</v>
      </c>
      <c r="H47">
        <f t="shared" si="0"/>
        <v>280.95238095238096</v>
      </c>
      <c r="I47">
        <f t="shared" si="1"/>
        <v>14.050000000000011</v>
      </c>
      <c r="J47" s="1">
        <f t="shared" si="2"/>
        <v>295.00238095238097</v>
      </c>
    </row>
    <row r="48" spans="2:10">
      <c r="B48" t="s">
        <v>7</v>
      </c>
      <c r="C48">
        <v>4219</v>
      </c>
      <c r="D48">
        <v>395</v>
      </c>
      <c r="F48">
        <f t="shared" si="3"/>
        <v>376.19</v>
      </c>
      <c r="H48">
        <f t="shared" si="0"/>
        <v>376.19047619047615</v>
      </c>
      <c r="I48">
        <f t="shared" si="1"/>
        <v>18.810000000000002</v>
      </c>
      <c r="J48" s="1">
        <f t="shared" si="2"/>
        <v>395.00047619047615</v>
      </c>
    </row>
    <row r="49" spans="2:10">
      <c r="B49" t="s">
        <v>17</v>
      </c>
      <c r="C49">
        <v>991</v>
      </c>
      <c r="D49">
        <v>305</v>
      </c>
      <c r="F49">
        <f t="shared" si="3"/>
        <v>290.48</v>
      </c>
      <c r="H49">
        <f t="shared" si="0"/>
        <v>290.47619047619048</v>
      </c>
      <c r="I49">
        <f t="shared" si="1"/>
        <v>14.519999999999982</v>
      </c>
      <c r="J49" s="1">
        <f t="shared" si="2"/>
        <v>304.99619047619046</v>
      </c>
    </row>
    <row r="50" spans="2:10">
      <c r="B50" t="s">
        <v>20</v>
      </c>
      <c r="C50">
        <v>4234</v>
      </c>
      <c r="D50">
        <v>365</v>
      </c>
      <c r="F50">
        <f t="shared" si="3"/>
        <v>347.62</v>
      </c>
      <c r="H50">
        <f t="shared" si="0"/>
        <v>347.61904761904759</v>
      </c>
      <c r="I50">
        <f t="shared" si="1"/>
        <v>17.379999999999995</v>
      </c>
      <c r="J50" s="1">
        <f t="shared" si="2"/>
        <v>364.99904761904759</v>
      </c>
    </row>
    <row r="51" spans="2:10">
      <c r="B51" t="s">
        <v>7</v>
      </c>
      <c r="C51">
        <v>4219</v>
      </c>
      <c r="D51">
        <v>395</v>
      </c>
      <c r="F51">
        <f t="shared" si="3"/>
        <v>376.19</v>
      </c>
      <c r="H51">
        <f t="shared" si="0"/>
        <v>376.19047619047615</v>
      </c>
      <c r="I51">
        <f t="shared" si="1"/>
        <v>18.810000000000002</v>
      </c>
      <c r="J51" s="1">
        <f t="shared" si="2"/>
        <v>395.00047619047615</v>
      </c>
    </row>
    <row r="52" spans="2:10">
      <c r="B52" t="s">
        <v>19</v>
      </c>
      <c r="C52">
        <v>4221</v>
      </c>
      <c r="D52">
        <v>675</v>
      </c>
      <c r="F52">
        <f t="shared" si="3"/>
        <v>642.86</v>
      </c>
      <c r="H52">
        <f t="shared" si="0"/>
        <v>642.85714285714278</v>
      </c>
      <c r="I52">
        <f t="shared" si="1"/>
        <v>32.139999999999986</v>
      </c>
      <c r="J52" s="1">
        <f t="shared" si="2"/>
        <v>674.99714285714276</v>
      </c>
    </row>
    <row r="53" spans="2:10">
      <c r="B53" t="s">
        <v>16</v>
      </c>
      <c r="C53">
        <v>4226</v>
      </c>
      <c r="D53">
        <v>375</v>
      </c>
      <c r="F53">
        <f t="shared" si="3"/>
        <v>357.14</v>
      </c>
      <c r="H53">
        <f t="shared" si="0"/>
        <v>357.14285714285711</v>
      </c>
      <c r="I53">
        <f t="shared" si="1"/>
        <v>17.860000000000014</v>
      </c>
      <c r="J53" s="1">
        <f t="shared" si="2"/>
        <v>375.00285714285712</v>
      </c>
    </row>
    <row r="54" spans="2:10">
      <c r="B54" t="s">
        <v>8</v>
      </c>
      <c r="C54">
        <v>4236</v>
      </c>
      <c r="D54">
        <v>365</v>
      </c>
      <c r="F54">
        <f t="shared" si="3"/>
        <v>347.62</v>
      </c>
      <c r="H54">
        <f t="shared" si="0"/>
        <v>347.61904761904759</v>
      </c>
      <c r="I54">
        <f t="shared" si="1"/>
        <v>17.379999999999995</v>
      </c>
      <c r="J54" s="1">
        <f t="shared" si="2"/>
        <v>364.99904761904759</v>
      </c>
    </row>
    <row r="55" spans="2:10">
      <c r="B55" t="s">
        <v>21</v>
      </c>
      <c r="C55">
        <v>4226</v>
      </c>
      <c r="D55">
        <v>375</v>
      </c>
      <c r="F55">
        <f t="shared" si="3"/>
        <v>357.14</v>
      </c>
      <c r="H55">
        <f t="shared" si="0"/>
        <v>357.14285714285711</v>
      </c>
      <c r="I55">
        <f t="shared" si="1"/>
        <v>17.860000000000014</v>
      </c>
      <c r="J55" s="1">
        <f t="shared" si="2"/>
        <v>375.00285714285712</v>
      </c>
    </row>
    <row r="56" spans="2:10">
      <c r="B56" t="s">
        <v>11</v>
      </c>
      <c r="C56">
        <v>4238</v>
      </c>
      <c r="D56">
        <v>875</v>
      </c>
      <c r="E56">
        <v>2</v>
      </c>
      <c r="F56">
        <f t="shared" si="3"/>
        <v>833.33</v>
      </c>
      <c r="H56">
        <f t="shared" si="0"/>
        <v>833.33333333333326</v>
      </c>
      <c r="I56">
        <f t="shared" si="1"/>
        <v>41.669999999999959</v>
      </c>
      <c r="J56" s="1">
        <f t="shared" si="2"/>
        <v>875.00333333333322</v>
      </c>
    </row>
    <row r="57" spans="2:10">
      <c r="B57" t="s">
        <v>7</v>
      </c>
      <c r="C57">
        <v>4219</v>
      </c>
      <c r="D57">
        <v>395</v>
      </c>
      <c r="F57">
        <f t="shared" si="3"/>
        <v>376.19</v>
      </c>
      <c r="H57">
        <f t="shared" si="0"/>
        <v>376.19047619047615</v>
      </c>
      <c r="I57">
        <f t="shared" si="1"/>
        <v>18.810000000000002</v>
      </c>
      <c r="J57" s="1">
        <f t="shared" si="2"/>
        <v>395.00047619047615</v>
      </c>
    </row>
    <row r="58" spans="2:10">
      <c r="B58" t="s">
        <v>7</v>
      </c>
      <c r="C58">
        <v>4219</v>
      </c>
      <c r="D58">
        <v>395</v>
      </c>
      <c r="F58">
        <f t="shared" si="3"/>
        <v>376.19</v>
      </c>
      <c r="H58">
        <f t="shared" si="0"/>
        <v>376.19047619047615</v>
      </c>
      <c r="I58">
        <f t="shared" si="1"/>
        <v>18.810000000000002</v>
      </c>
      <c r="J58" s="1">
        <f t="shared" si="2"/>
        <v>395.00047619047615</v>
      </c>
    </row>
    <row r="59" spans="2:10">
      <c r="B59" t="s">
        <v>22</v>
      </c>
      <c r="C59">
        <v>4224</v>
      </c>
      <c r="D59">
        <v>595</v>
      </c>
      <c r="F59">
        <f t="shared" si="3"/>
        <v>566.66999999999996</v>
      </c>
      <c r="H59">
        <f t="shared" si="0"/>
        <v>566.66666666666663</v>
      </c>
      <c r="I59">
        <f t="shared" si="1"/>
        <v>28.330000000000041</v>
      </c>
      <c r="J59" s="1">
        <f t="shared" si="2"/>
        <v>594.99666666666667</v>
      </c>
    </row>
    <row r="60" spans="2:10">
      <c r="B60" t="s">
        <v>23</v>
      </c>
      <c r="C60">
        <v>5964</v>
      </c>
      <c r="D60">
        <v>1325</v>
      </c>
      <c r="F60">
        <f t="shared" si="3"/>
        <v>1261.9000000000001</v>
      </c>
      <c r="H60">
        <f t="shared" si="0"/>
        <v>1261.9047619047619</v>
      </c>
      <c r="I60">
        <f t="shared" si="1"/>
        <v>63.099999999999909</v>
      </c>
      <c r="J60" s="1">
        <f t="shared" si="2"/>
        <v>1325.0047619047618</v>
      </c>
    </row>
    <row r="61" spans="2:10">
      <c r="B61" t="s">
        <v>23</v>
      </c>
      <c r="C61">
        <v>2081</v>
      </c>
      <c r="D61">
        <v>1450</v>
      </c>
      <c r="E61">
        <v>10</v>
      </c>
      <c r="F61">
        <f t="shared" si="3"/>
        <v>1380.95</v>
      </c>
      <c r="H61">
        <f t="shared" si="0"/>
        <v>1380.952380952381</v>
      </c>
      <c r="I61">
        <f t="shared" si="1"/>
        <v>69.049999999999955</v>
      </c>
      <c r="J61" s="1">
        <f t="shared" si="2"/>
        <v>1450.0023809523809</v>
      </c>
    </row>
    <row r="62" spans="2:10">
      <c r="B62" t="s">
        <v>24</v>
      </c>
      <c r="C62">
        <v>5968</v>
      </c>
      <c r="D62">
        <v>1995</v>
      </c>
      <c r="F62">
        <f t="shared" si="3"/>
        <v>1900</v>
      </c>
      <c r="H62">
        <f t="shared" si="0"/>
        <v>1900</v>
      </c>
      <c r="I62">
        <f t="shared" si="1"/>
        <v>95</v>
      </c>
      <c r="J62" s="1">
        <f t="shared" si="2"/>
        <v>1995</v>
      </c>
    </row>
    <row r="63" spans="2:10">
      <c r="B63" t="s">
        <v>25</v>
      </c>
      <c r="C63">
        <v>2080</v>
      </c>
      <c r="D63">
        <v>1775</v>
      </c>
      <c r="E63">
        <v>2</v>
      </c>
      <c r="F63">
        <f t="shared" si="3"/>
        <v>1690.48</v>
      </c>
      <c r="H63">
        <f t="shared" si="0"/>
        <v>1690.4761904761904</v>
      </c>
      <c r="I63">
        <f t="shared" si="1"/>
        <v>84.519999999999982</v>
      </c>
      <c r="J63" s="1">
        <f t="shared" si="2"/>
        <v>1774.9961904761903</v>
      </c>
    </row>
    <row r="64" spans="2:10">
      <c r="B64" t="s">
        <v>24</v>
      </c>
      <c r="C64">
        <v>5968</v>
      </c>
      <c r="D64">
        <v>1995</v>
      </c>
      <c r="E64">
        <v>6</v>
      </c>
      <c r="F64">
        <f t="shared" si="3"/>
        <v>1900</v>
      </c>
      <c r="H64">
        <f t="shared" si="0"/>
        <v>1900</v>
      </c>
      <c r="I64">
        <f t="shared" si="1"/>
        <v>95</v>
      </c>
      <c r="J64" s="1">
        <f t="shared" si="2"/>
        <v>1995</v>
      </c>
    </row>
    <row r="65" spans="2:10">
      <c r="B65" t="s">
        <v>26</v>
      </c>
      <c r="C65">
        <v>6245</v>
      </c>
      <c r="D65">
        <v>995</v>
      </c>
      <c r="E65">
        <v>2</v>
      </c>
      <c r="F65">
        <f t="shared" si="3"/>
        <v>947.62</v>
      </c>
      <c r="H65">
        <f t="shared" si="0"/>
        <v>947.61904761904759</v>
      </c>
      <c r="I65">
        <f t="shared" si="1"/>
        <v>47.379999999999995</v>
      </c>
      <c r="J65" s="1">
        <f t="shared" si="2"/>
        <v>994.99904761904759</v>
      </c>
    </row>
    <row r="66" spans="2:10">
      <c r="B66" t="s">
        <v>5</v>
      </c>
      <c r="C66">
        <v>3259</v>
      </c>
      <c r="D66">
        <v>295</v>
      </c>
      <c r="E66">
        <v>11</v>
      </c>
      <c r="F66">
        <f t="shared" si="3"/>
        <v>280.95</v>
      </c>
      <c r="H66">
        <f t="shared" ref="H66:H108" si="4">D66/1.05</f>
        <v>280.95238095238096</v>
      </c>
      <c r="I66">
        <f t="shared" ref="I66:I108" si="5">D66-F66</f>
        <v>14.050000000000011</v>
      </c>
      <c r="J66" s="1">
        <f t="shared" ref="J66:J108" si="6">SUM(H66:I66)</f>
        <v>295.00238095238097</v>
      </c>
    </row>
    <row r="67" spans="2:10">
      <c r="B67" t="s">
        <v>6</v>
      </c>
      <c r="C67">
        <v>3612</v>
      </c>
      <c r="D67">
        <v>575</v>
      </c>
      <c r="F67">
        <f t="shared" ref="F67:F110" si="7">ROUND(IF(D67&gt;2500, D67/1.18, D67/1.05),2)</f>
        <v>547.62</v>
      </c>
      <c r="H67">
        <f t="shared" si="4"/>
        <v>547.61904761904759</v>
      </c>
      <c r="I67">
        <f t="shared" si="5"/>
        <v>27.379999999999995</v>
      </c>
      <c r="J67" s="1">
        <f t="shared" si="6"/>
        <v>574.99904761904759</v>
      </c>
    </row>
    <row r="68" spans="2:10">
      <c r="B68" t="s">
        <v>27</v>
      </c>
      <c r="C68">
        <v>4221</v>
      </c>
      <c r="D68">
        <v>675</v>
      </c>
      <c r="F68">
        <f t="shared" si="7"/>
        <v>642.86</v>
      </c>
      <c r="H68">
        <f t="shared" si="4"/>
        <v>642.85714285714278</v>
      </c>
      <c r="I68">
        <f t="shared" si="5"/>
        <v>32.139999999999986</v>
      </c>
      <c r="J68" s="1">
        <f t="shared" si="6"/>
        <v>674.99714285714276</v>
      </c>
    </row>
    <row r="69" spans="2:10">
      <c r="B69" t="s">
        <v>16</v>
      </c>
      <c r="C69">
        <v>3609</v>
      </c>
      <c r="D69">
        <v>845</v>
      </c>
      <c r="F69">
        <f t="shared" si="7"/>
        <v>804.76</v>
      </c>
      <c r="H69">
        <f t="shared" si="4"/>
        <v>804.7619047619047</v>
      </c>
      <c r="I69">
        <f t="shared" si="5"/>
        <v>40.240000000000009</v>
      </c>
      <c r="J69" s="1">
        <f t="shared" si="6"/>
        <v>845.00190476190471</v>
      </c>
    </row>
    <row r="70" spans="2:10">
      <c r="B70" t="s">
        <v>28</v>
      </c>
      <c r="C70">
        <v>3607</v>
      </c>
      <c r="D70">
        <v>675</v>
      </c>
      <c r="F70">
        <f t="shared" si="7"/>
        <v>642.86</v>
      </c>
      <c r="H70">
        <f t="shared" si="4"/>
        <v>642.85714285714278</v>
      </c>
      <c r="I70">
        <f t="shared" si="5"/>
        <v>32.139999999999986</v>
      </c>
      <c r="J70" s="1">
        <f t="shared" si="6"/>
        <v>674.99714285714276</v>
      </c>
    </row>
    <row r="71" spans="2:10">
      <c r="B71" t="s">
        <v>28</v>
      </c>
      <c r="C71">
        <v>3606</v>
      </c>
      <c r="D71">
        <v>295</v>
      </c>
      <c r="F71">
        <f t="shared" si="7"/>
        <v>280.95</v>
      </c>
      <c r="H71">
        <f t="shared" si="4"/>
        <v>280.95238095238096</v>
      </c>
      <c r="I71">
        <f t="shared" si="5"/>
        <v>14.050000000000011</v>
      </c>
      <c r="J71" s="1">
        <f t="shared" si="6"/>
        <v>295.00238095238097</v>
      </c>
    </row>
    <row r="72" spans="2:10">
      <c r="B72" t="s">
        <v>28</v>
      </c>
      <c r="C72">
        <v>3607</v>
      </c>
      <c r="D72">
        <v>675</v>
      </c>
      <c r="F72">
        <f t="shared" si="7"/>
        <v>642.86</v>
      </c>
      <c r="H72">
        <f t="shared" si="4"/>
        <v>642.85714285714278</v>
      </c>
      <c r="I72">
        <f t="shared" si="5"/>
        <v>32.139999999999986</v>
      </c>
      <c r="J72" s="1">
        <f t="shared" si="6"/>
        <v>674.99714285714276</v>
      </c>
    </row>
    <row r="73" spans="2:10">
      <c r="B73" t="s">
        <v>28</v>
      </c>
      <c r="C73">
        <v>3256</v>
      </c>
      <c r="D73">
        <v>1125</v>
      </c>
      <c r="E73">
        <v>10</v>
      </c>
      <c r="F73">
        <f t="shared" si="7"/>
        <v>1071.43</v>
      </c>
      <c r="H73">
        <f t="shared" si="4"/>
        <v>1071.4285714285713</v>
      </c>
      <c r="I73">
        <f t="shared" si="5"/>
        <v>53.569999999999936</v>
      </c>
      <c r="J73" s="1">
        <f t="shared" si="6"/>
        <v>1124.9985714285713</v>
      </c>
    </row>
    <row r="74" spans="2:10">
      <c r="B74" t="s">
        <v>28</v>
      </c>
      <c r="C74">
        <v>3606</v>
      </c>
      <c r="D74">
        <v>295</v>
      </c>
      <c r="E74">
        <v>15</v>
      </c>
      <c r="F74">
        <f t="shared" si="7"/>
        <v>280.95</v>
      </c>
      <c r="H74">
        <f t="shared" si="4"/>
        <v>280.95238095238096</v>
      </c>
      <c r="I74">
        <f t="shared" si="5"/>
        <v>14.050000000000011</v>
      </c>
      <c r="J74" s="1">
        <f t="shared" si="6"/>
        <v>295.00238095238097</v>
      </c>
    </row>
    <row r="75" spans="2:10">
      <c r="B75" t="s">
        <v>29</v>
      </c>
      <c r="C75">
        <v>3607</v>
      </c>
      <c r="D75">
        <v>575</v>
      </c>
      <c r="E75">
        <v>12</v>
      </c>
      <c r="F75">
        <f t="shared" si="7"/>
        <v>547.62</v>
      </c>
      <c r="H75">
        <f t="shared" si="4"/>
        <v>547.61904761904759</v>
      </c>
      <c r="I75">
        <f t="shared" si="5"/>
        <v>27.379999999999995</v>
      </c>
      <c r="J75" s="1">
        <f t="shared" si="6"/>
        <v>574.99904761904759</v>
      </c>
    </row>
    <row r="76" spans="2:10">
      <c r="B76" t="s">
        <v>30</v>
      </c>
      <c r="C76">
        <v>3337</v>
      </c>
      <c r="D76">
        <v>1050</v>
      </c>
      <c r="F76">
        <f t="shared" si="7"/>
        <v>1000</v>
      </c>
      <c r="H76">
        <f t="shared" si="4"/>
        <v>1000</v>
      </c>
      <c r="I76">
        <f t="shared" si="5"/>
        <v>50</v>
      </c>
      <c r="J76" s="1">
        <f t="shared" si="6"/>
        <v>1050</v>
      </c>
    </row>
    <row r="77" spans="2:10">
      <c r="B77" t="s">
        <v>31</v>
      </c>
      <c r="C77">
        <v>3615</v>
      </c>
      <c r="D77">
        <v>1050</v>
      </c>
      <c r="F77">
        <f t="shared" si="7"/>
        <v>1000</v>
      </c>
      <c r="H77">
        <f t="shared" si="4"/>
        <v>1000</v>
      </c>
      <c r="I77">
        <f t="shared" si="5"/>
        <v>50</v>
      </c>
      <c r="J77" s="1">
        <f t="shared" si="6"/>
        <v>1050</v>
      </c>
    </row>
    <row r="78" spans="2:10">
      <c r="B78" t="s">
        <v>28</v>
      </c>
      <c r="C78">
        <v>3606</v>
      </c>
      <c r="D78">
        <v>295</v>
      </c>
      <c r="F78">
        <f t="shared" si="7"/>
        <v>280.95</v>
      </c>
      <c r="H78">
        <f t="shared" si="4"/>
        <v>280.95238095238096</v>
      </c>
      <c r="I78">
        <f t="shared" si="5"/>
        <v>14.050000000000011</v>
      </c>
      <c r="J78" s="1">
        <f t="shared" si="6"/>
        <v>295.00238095238097</v>
      </c>
    </row>
    <row r="79" spans="2:10">
      <c r="B79" t="s">
        <v>30</v>
      </c>
      <c r="C79">
        <v>3335</v>
      </c>
      <c r="D79">
        <v>995</v>
      </c>
      <c r="F79">
        <f t="shared" si="7"/>
        <v>947.62</v>
      </c>
      <c r="H79">
        <f t="shared" si="4"/>
        <v>947.61904761904759</v>
      </c>
      <c r="I79">
        <f t="shared" si="5"/>
        <v>47.379999999999995</v>
      </c>
      <c r="J79" s="1">
        <f t="shared" si="6"/>
        <v>994.99904761904759</v>
      </c>
    </row>
    <row r="80" spans="2:10">
      <c r="B80" t="s">
        <v>13</v>
      </c>
      <c r="C80">
        <v>3615</v>
      </c>
      <c r="D80">
        <v>1050</v>
      </c>
      <c r="F80">
        <f t="shared" si="7"/>
        <v>1000</v>
      </c>
      <c r="H80">
        <f t="shared" si="4"/>
        <v>1000</v>
      </c>
      <c r="I80">
        <f t="shared" si="5"/>
        <v>50</v>
      </c>
      <c r="J80" s="1">
        <f t="shared" si="6"/>
        <v>1050</v>
      </c>
    </row>
    <row r="81" spans="2:10">
      <c r="B81" t="s">
        <v>21</v>
      </c>
      <c r="C81">
        <v>3608</v>
      </c>
      <c r="D81">
        <v>685</v>
      </c>
      <c r="F81">
        <f t="shared" si="7"/>
        <v>652.38</v>
      </c>
      <c r="H81">
        <f t="shared" si="4"/>
        <v>652.38095238095241</v>
      </c>
      <c r="I81">
        <f t="shared" si="5"/>
        <v>32.620000000000005</v>
      </c>
      <c r="J81" s="1">
        <f t="shared" si="6"/>
        <v>685.00095238095241</v>
      </c>
    </row>
    <row r="82" spans="2:10">
      <c r="B82" t="s">
        <v>21</v>
      </c>
      <c r="C82">
        <v>3609</v>
      </c>
      <c r="D82">
        <v>845</v>
      </c>
      <c r="E82">
        <v>6</v>
      </c>
      <c r="F82">
        <f t="shared" si="7"/>
        <v>804.76</v>
      </c>
      <c r="H82">
        <f t="shared" si="4"/>
        <v>804.7619047619047</v>
      </c>
      <c r="I82">
        <f t="shared" si="5"/>
        <v>40.240000000000009</v>
      </c>
      <c r="J82" s="1">
        <f t="shared" si="6"/>
        <v>845.00190476190471</v>
      </c>
    </row>
    <row r="83" spans="2:10">
      <c r="B83" t="s">
        <v>21</v>
      </c>
      <c r="C83">
        <v>3610</v>
      </c>
      <c r="D83">
        <v>535</v>
      </c>
      <c r="F83">
        <f t="shared" si="7"/>
        <v>509.52</v>
      </c>
      <c r="H83">
        <f t="shared" si="4"/>
        <v>509.52380952380952</v>
      </c>
      <c r="I83">
        <f t="shared" si="5"/>
        <v>25.480000000000018</v>
      </c>
      <c r="J83" s="1">
        <f t="shared" si="6"/>
        <v>535.00380952380954</v>
      </c>
    </row>
    <row r="84" spans="2:10">
      <c r="B84" t="s">
        <v>5</v>
      </c>
      <c r="C84">
        <v>3259</v>
      </c>
      <c r="D84">
        <v>295</v>
      </c>
      <c r="F84">
        <f t="shared" si="7"/>
        <v>280.95</v>
      </c>
      <c r="H84">
        <f t="shared" si="4"/>
        <v>280.95238095238096</v>
      </c>
      <c r="I84">
        <f t="shared" si="5"/>
        <v>14.050000000000011</v>
      </c>
      <c r="J84" s="1">
        <f t="shared" si="6"/>
        <v>295.00238095238097</v>
      </c>
    </row>
    <row r="85" spans="2:10">
      <c r="B85" t="s">
        <v>32</v>
      </c>
      <c r="C85">
        <v>992</v>
      </c>
      <c r="D85">
        <v>340</v>
      </c>
      <c r="F85">
        <f t="shared" si="7"/>
        <v>323.81</v>
      </c>
      <c r="H85">
        <f t="shared" si="4"/>
        <v>323.8095238095238</v>
      </c>
      <c r="I85">
        <f t="shared" si="5"/>
        <v>16.189999999999998</v>
      </c>
      <c r="J85" s="1">
        <f t="shared" si="6"/>
        <v>339.99952380952379</v>
      </c>
    </row>
    <row r="86" spans="2:10">
      <c r="B86" t="s">
        <v>33</v>
      </c>
      <c r="C86">
        <v>4237</v>
      </c>
      <c r="D86">
        <v>375</v>
      </c>
      <c r="F86">
        <f t="shared" si="7"/>
        <v>357.14</v>
      </c>
      <c r="H86">
        <f t="shared" si="4"/>
        <v>357.14285714285711</v>
      </c>
      <c r="I86">
        <f t="shared" si="5"/>
        <v>17.860000000000014</v>
      </c>
      <c r="J86" s="1">
        <f t="shared" si="6"/>
        <v>375.00285714285712</v>
      </c>
    </row>
    <row r="87" spans="2:10">
      <c r="B87" t="s">
        <v>33</v>
      </c>
      <c r="C87">
        <v>4236</v>
      </c>
      <c r="D87">
        <v>365</v>
      </c>
      <c r="F87">
        <f t="shared" si="7"/>
        <v>347.62</v>
      </c>
      <c r="H87">
        <f t="shared" si="4"/>
        <v>347.61904761904759</v>
      </c>
      <c r="I87">
        <f t="shared" si="5"/>
        <v>17.379999999999995</v>
      </c>
      <c r="J87" s="1">
        <f t="shared" si="6"/>
        <v>364.99904761904759</v>
      </c>
    </row>
    <row r="88" spans="2:10">
      <c r="B88" t="s">
        <v>33</v>
      </c>
      <c r="C88">
        <v>3599</v>
      </c>
      <c r="D88">
        <v>545</v>
      </c>
      <c r="F88">
        <f t="shared" si="7"/>
        <v>519.04999999999995</v>
      </c>
      <c r="H88">
        <f t="shared" si="4"/>
        <v>519.04761904761904</v>
      </c>
      <c r="I88">
        <f t="shared" si="5"/>
        <v>25.950000000000045</v>
      </c>
      <c r="J88" s="1">
        <f t="shared" si="6"/>
        <v>544.99761904761908</v>
      </c>
    </row>
    <row r="89" spans="2:10">
      <c r="B89" t="s">
        <v>34</v>
      </c>
      <c r="C89">
        <v>994</v>
      </c>
      <c r="D89">
        <v>275</v>
      </c>
      <c r="F89">
        <f t="shared" si="7"/>
        <v>261.89999999999998</v>
      </c>
      <c r="H89">
        <f t="shared" si="4"/>
        <v>261.90476190476187</v>
      </c>
      <c r="I89">
        <f t="shared" si="5"/>
        <v>13.100000000000023</v>
      </c>
      <c r="J89" s="1">
        <f t="shared" si="6"/>
        <v>275.00476190476189</v>
      </c>
    </row>
    <row r="90" spans="2:10">
      <c r="B90" t="s">
        <v>33</v>
      </c>
      <c r="C90">
        <v>4237</v>
      </c>
      <c r="D90">
        <v>375</v>
      </c>
      <c r="F90">
        <f t="shared" si="7"/>
        <v>357.14</v>
      </c>
      <c r="H90">
        <f t="shared" si="4"/>
        <v>357.14285714285711</v>
      </c>
      <c r="I90">
        <f t="shared" si="5"/>
        <v>17.860000000000014</v>
      </c>
      <c r="J90" s="1">
        <f t="shared" si="6"/>
        <v>375.00285714285712</v>
      </c>
    </row>
    <row r="91" spans="2:10">
      <c r="B91" t="s">
        <v>16</v>
      </c>
      <c r="C91">
        <v>4234</v>
      </c>
      <c r="D91">
        <v>365</v>
      </c>
      <c r="F91">
        <f t="shared" si="7"/>
        <v>347.62</v>
      </c>
      <c r="H91">
        <f t="shared" si="4"/>
        <v>347.61904761904759</v>
      </c>
      <c r="I91">
        <f t="shared" si="5"/>
        <v>17.379999999999995</v>
      </c>
      <c r="J91" s="1">
        <f t="shared" si="6"/>
        <v>364.99904761904759</v>
      </c>
    </row>
    <row r="92" spans="2:10">
      <c r="B92" t="s">
        <v>35</v>
      </c>
      <c r="C92">
        <v>4229</v>
      </c>
      <c r="D92">
        <v>350</v>
      </c>
      <c r="F92">
        <f t="shared" si="7"/>
        <v>333.33</v>
      </c>
      <c r="H92">
        <f t="shared" si="4"/>
        <v>333.33333333333331</v>
      </c>
      <c r="I92">
        <f t="shared" si="5"/>
        <v>16.670000000000016</v>
      </c>
      <c r="J92" s="1">
        <f t="shared" si="6"/>
        <v>350.00333333333333</v>
      </c>
    </row>
    <row r="93" spans="2:10">
      <c r="B93" t="s">
        <v>36</v>
      </c>
      <c r="C93">
        <v>1217</v>
      </c>
      <c r="D93">
        <v>295</v>
      </c>
      <c r="F93">
        <f t="shared" si="7"/>
        <v>280.95</v>
      </c>
      <c r="H93">
        <f t="shared" si="4"/>
        <v>280.95238095238096</v>
      </c>
      <c r="I93">
        <f t="shared" si="5"/>
        <v>14.050000000000011</v>
      </c>
      <c r="J93" s="1">
        <f t="shared" si="6"/>
        <v>295.00238095238097</v>
      </c>
    </row>
    <row r="94" spans="2:10">
      <c r="B94" t="s">
        <v>7</v>
      </c>
      <c r="C94">
        <v>4219</v>
      </c>
      <c r="D94">
        <v>395</v>
      </c>
      <c r="F94">
        <f t="shared" si="7"/>
        <v>376.19</v>
      </c>
      <c r="H94">
        <f t="shared" si="4"/>
        <v>376.19047619047615</v>
      </c>
      <c r="I94">
        <f t="shared" si="5"/>
        <v>18.810000000000002</v>
      </c>
      <c r="J94" s="1">
        <f t="shared" si="6"/>
        <v>395.00047619047615</v>
      </c>
    </row>
    <row r="95" spans="2:10">
      <c r="B95" t="s">
        <v>11</v>
      </c>
      <c r="C95">
        <v>4238</v>
      </c>
      <c r="D95">
        <v>875</v>
      </c>
      <c r="E95">
        <v>8</v>
      </c>
      <c r="F95">
        <f t="shared" si="7"/>
        <v>833.33</v>
      </c>
      <c r="H95">
        <f t="shared" si="4"/>
        <v>833.33333333333326</v>
      </c>
      <c r="I95">
        <f t="shared" si="5"/>
        <v>41.669999999999959</v>
      </c>
      <c r="J95" s="1">
        <f t="shared" si="6"/>
        <v>875.00333333333322</v>
      </c>
    </row>
    <row r="96" spans="2:10">
      <c r="B96" t="s">
        <v>28</v>
      </c>
      <c r="C96">
        <v>4221</v>
      </c>
      <c r="D96">
        <v>675</v>
      </c>
      <c r="F96">
        <f t="shared" si="7"/>
        <v>642.86</v>
      </c>
      <c r="H96">
        <f t="shared" si="4"/>
        <v>642.85714285714278</v>
      </c>
      <c r="I96">
        <f t="shared" si="5"/>
        <v>32.139999999999986</v>
      </c>
      <c r="J96" s="1">
        <f t="shared" si="6"/>
        <v>674.99714285714276</v>
      </c>
    </row>
    <row r="97" spans="2:10">
      <c r="B97" t="s">
        <v>15</v>
      </c>
      <c r="C97">
        <v>4227</v>
      </c>
      <c r="D97">
        <v>365</v>
      </c>
      <c r="F97">
        <f t="shared" si="7"/>
        <v>347.62</v>
      </c>
      <c r="H97">
        <f t="shared" si="4"/>
        <v>347.61904761904759</v>
      </c>
      <c r="I97">
        <f t="shared" si="5"/>
        <v>17.379999999999995</v>
      </c>
      <c r="J97" s="1">
        <f t="shared" si="6"/>
        <v>364.99904761904759</v>
      </c>
    </row>
    <row r="98" spans="2:10">
      <c r="B98" t="s">
        <v>15</v>
      </c>
      <c r="C98">
        <v>4223</v>
      </c>
      <c r="D98">
        <v>275</v>
      </c>
      <c r="F98">
        <f t="shared" si="7"/>
        <v>261.89999999999998</v>
      </c>
      <c r="H98">
        <f t="shared" si="4"/>
        <v>261.90476190476187</v>
      </c>
      <c r="I98">
        <f t="shared" si="5"/>
        <v>13.100000000000023</v>
      </c>
      <c r="J98" s="1">
        <f t="shared" si="6"/>
        <v>275.00476190476189</v>
      </c>
    </row>
    <row r="99" spans="2:10">
      <c r="B99" t="s">
        <v>15</v>
      </c>
      <c r="C99">
        <v>4227</v>
      </c>
      <c r="D99">
        <v>365</v>
      </c>
      <c r="F99">
        <f t="shared" si="7"/>
        <v>347.62</v>
      </c>
      <c r="H99">
        <f t="shared" si="4"/>
        <v>347.61904761904759</v>
      </c>
      <c r="I99">
        <f t="shared" si="5"/>
        <v>17.379999999999995</v>
      </c>
      <c r="J99" s="1">
        <f t="shared" si="6"/>
        <v>364.99904761904759</v>
      </c>
    </row>
    <row r="100" spans="2:10">
      <c r="B100" t="s">
        <v>5</v>
      </c>
      <c r="C100">
        <v>4217</v>
      </c>
      <c r="D100">
        <v>265</v>
      </c>
      <c r="F100">
        <f t="shared" si="7"/>
        <v>252.38</v>
      </c>
      <c r="H100">
        <f t="shared" si="4"/>
        <v>252.38095238095238</v>
      </c>
      <c r="I100">
        <f t="shared" si="5"/>
        <v>12.620000000000005</v>
      </c>
      <c r="J100" s="1">
        <f t="shared" si="6"/>
        <v>265.00095238095241</v>
      </c>
    </row>
    <row r="101" spans="2:10">
      <c r="B101" t="s">
        <v>6</v>
      </c>
      <c r="C101">
        <v>3842</v>
      </c>
      <c r="D101">
        <v>350</v>
      </c>
      <c r="E101">
        <v>2</v>
      </c>
      <c r="F101">
        <f t="shared" si="7"/>
        <v>333.33</v>
      </c>
      <c r="H101">
        <f t="shared" si="4"/>
        <v>333.33333333333331</v>
      </c>
      <c r="I101">
        <f t="shared" si="5"/>
        <v>16.670000000000016</v>
      </c>
      <c r="J101" s="1">
        <f t="shared" si="6"/>
        <v>350.00333333333333</v>
      </c>
    </row>
    <row r="102" spans="2:10">
      <c r="B102" t="s">
        <v>35</v>
      </c>
      <c r="C102">
        <v>3601</v>
      </c>
      <c r="D102">
        <v>545</v>
      </c>
      <c r="F102">
        <f t="shared" si="7"/>
        <v>519.04999999999995</v>
      </c>
      <c r="H102">
        <f t="shared" si="4"/>
        <v>519.04761904761904</v>
      </c>
      <c r="I102">
        <f t="shared" si="5"/>
        <v>25.950000000000045</v>
      </c>
      <c r="J102" s="1">
        <f t="shared" si="6"/>
        <v>544.99761904761908</v>
      </c>
    </row>
    <row r="103" spans="2:10">
      <c r="B103" t="s">
        <v>37</v>
      </c>
      <c r="C103">
        <v>3604</v>
      </c>
      <c r="D103">
        <v>485</v>
      </c>
      <c r="E103">
        <v>4</v>
      </c>
      <c r="F103">
        <f t="shared" si="7"/>
        <v>461.9</v>
      </c>
      <c r="H103">
        <f t="shared" si="4"/>
        <v>461.90476190476187</v>
      </c>
      <c r="I103">
        <f t="shared" si="5"/>
        <v>23.100000000000023</v>
      </c>
      <c r="J103" s="1">
        <f t="shared" si="6"/>
        <v>485.00476190476189</v>
      </c>
    </row>
    <row r="104" spans="2:10">
      <c r="B104" t="s">
        <v>35</v>
      </c>
      <c r="C104">
        <v>3599</v>
      </c>
      <c r="D104">
        <v>545</v>
      </c>
      <c r="F104">
        <f t="shared" si="7"/>
        <v>519.04999999999995</v>
      </c>
      <c r="H104">
        <f t="shared" si="4"/>
        <v>519.04761904761904</v>
      </c>
      <c r="I104">
        <f t="shared" si="5"/>
        <v>25.950000000000045</v>
      </c>
      <c r="J104" s="1">
        <f t="shared" si="6"/>
        <v>544.99761904761908</v>
      </c>
    </row>
    <row r="105" spans="2:10">
      <c r="B105" t="s">
        <v>15</v>
      </c>
      <c r="C105">
        <v>4227</v>
      </c>
      <c r="D105">
        <v>365</v>
      </c>
      <c r="F105">
        <f t="shared" si="7"/>
        <v>347.62</v>
      </c>
      <c r="H105">
        <f t="shared" si="4"/>
        <v>347.61904761904759</v>
      </c>
      <c r="I105">
        <f t="shared" si="5"/>
        <v>17.379999999999995</v>
      </c>
      <c r="J105" s="1">
        <f t="shared" si="6"/>
        <v>364.99904761904759</v>
      </c>
    </row>
    <row r="106" spans="2:10">
      <c r="B106" t="s">
        <v>38</v>
      </c>
      <c r="C106">
        <v>3604</v>
      </c>
      <c r="D106">
        <v>485</v>
      </c>
      <c r="F106">
        <f t="shared" si="7"/>
        <v>461.9</v>
      </c>
      <c r="H106">
        <f t="shared" si="4"/>
        <v>461.90476190476187</v>
      </c>
      <c r="I106">
        <f t="shared" si="5"/>
        <v>23.100000000000023</v>
      </c>
      <c r="J106" s="1">
        <f t="shared" si="6"/>
        <v>485.00476190476189</v>
      </c>
    </row>
    <row r="107" spans="2:10">
      <c r="B107" t="s">
        <v>5</v>
      </c>
      <c r="C107">
        <v>3259</v>
      </c>
      <c r="D107">
        <v>295</v>
      </c>
      <c r="E107">
        <v>5</v>
      </c>
      <c r="F107">
        <f t="shared" si="7"/>
        <v>280.95</v>
      </c>
      <c r="H107">
        <f t="shared" si="4"/>
        <v>280.95238095238096</v>
      </c>
      <c r="I107">
        <f t="shared" si="5"/>
        <v>14.050000000000011</v>
      </c>
      <c r="J107" s="1">
        <f t="shared" si="6"/>
        <v>295.00238095238097</v>
      </c>
    </row>
    <row r="108" spans="2:10">
      <c r="B108" t="s">
        <v>39</v>
      </c>
      <c r="C108">
        <v>4237</v>
      </c>
      <c r="D108">
        <v>375</v>
      </c>
      <c r="F108">
        <f t="shared" si="7"/>
        <v>357.14</v>
      </c>
      <c r="H108">
        <f t="shared" si="4"/>
        <v>357.14285714285711</v>
      </c>
      <c r="I108">
        <f t="shared" si="5"/>
        <v>17.860000000000014</v>
      </c>
      <c r="J108" s="1">
        <f t="shared" si="6"/>
        <v>375.00285714285712</v>
      </c>
    </row>
    <row r="109" spans="2:10">
      <c r="B109" t="s">
        <v>5</v>
      </c>
      <c r="C109">
        <v>3259</v>
      </c>
      <c r="D109">
        <v>295</v>
      </c>
      <c r="E109">
        <v>4</v>
      </c>
      <c r="F109">
        <f t="shared" si="7"/>
        <v>280.95</v>
      </c>
      <c r="H109">
        <f>D109/1.05</f>
        <v>280.95238095238096</v>
      </c>
      <c r="I109">
        <f>D109-F109</f>
        <v>14.050000000000011</v>
      </c>
      <c r="J109" s="1">
        <f>SUM(H109:I109)</f>
        <v>295.00238095238097</v>
      </c>
    </row>
    <row r="110" spans="2:10">
      <c r="B110" t="s">
        <v>35</v>
      </c>
      <c r="C110">
        <v>3599</v>
      </c>
      <c r="D110">
        <v>545</v>
      </c>
      <c r="F110">
        <f>ROUND(IF(D110&gt;2500, D110/1.18, D110/1.05),2)</f>
        <v>519.04999999999995</v>
      </c>
      <c r="H110">
        <f>D110/1.05</f>
        <v>519.04761904761904</v>
      </c>
      <c r="I110">
        <f>D110-F110</f>
        <v>25.950000000000045</v>
      </c>
      <c r="J110" s="1">
        <f>SUM(H110:I110)</f>
        <v>544.99761904761908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4"/>
  <sheetViews>
    <sheetView workbookViewId="0">
      <selection activeCell="B24" sqref="B24"/>
    </sheetView>
  </sheetViews>
  <sheetFormatPr defaultRowHeight="15"/>
  <cols>
    <col min="1" max="1" width="7" customWidth="1"/>
    <col min="2" max="2" width="16.7109375" customWidth="1"/>
    <col min="3" max="3" width="11.85546875" customWidth="1"/>
    <col min="4" max="4" width="11" customWidth="1"/>
    <col min="6" max="6" width="24" customWidth="1"/>
    <col min="10" max="10" width="5.85546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82</v>
      </c>
      <c r="H1" t="s">
        <v>83</v>
      </c>
      <c r="I1" t="s">
        <v>84</v>
      </c>
      <c r="J1" t="s">
        <v>85</v>
      </c>
    </row>
    <row r="2" spans="1:10">
      <c r="B2" t="s">
        <v>40</v>
      </c>
      <c r="C2">
        <v>3604</v>
      </c>
      <c r="D2">
        <v>485</v>
      </c>
      <c r="F2">
        <f>ROUND(IF(D2&gt;2500, D2/1.18, D2/1.05),2)</f>
        <v>461.9</v>
      </c>
      <c r="H2">
        <f>D2/1.05</f>
        <v>461.90476190476187</v>
      </c>
      <c r="I2">
        <f>D2-F2</f>
        <v>23.100000000000023</v>
      </c>
      <c r="J2" s="1">
        <f>SUM(H2:I2)</f>
        <v>485.00476190476189</v>
      </c>
    </row>
    <row r="3" spans="1:10">
      <c r="B3" t="s">
        <v>41</v>
      </c>
      <c r="C3">
        <v>6245</v>
      </c>
      <c r="D3">
        <v>995</v>
      </c>
      <c r="E3">
        <v>6</v>
      </c>
      <c r="F3">
        <f t="shared" ref="F3:F66" si="0">ROUND(IF(D3&gt;2500, D3/1.18, D3/1.05),2)</f>
        <v>947.62</v>
      </c>
      <c r="H3">
        <f t="shared" ref="H3:H66" si="1">D3/1.05</f>
        <v>947.61904761904759</v>
      </c>
      <c r="I3">
        <f t="shared" ref="I3:I66" si="2">D3-F3</f>
        <v>47.379999999999995</v>
      </c>
      <c r="J3" s="1">
        <f t="shared" ref="J3:J66" si="3">SUM(H3:I3)</f>
        <v>994.99904761904759</v>
      </c>
    </row>
    <row r="4" spans="1:10">
      <c r="B4" t="s">
        <v>40</v>
      </c>
      <c r="C4">
        <v>3604</v>
      </c>
      <c r="D4">
        <v>485</v>
      </c>
      <c r="F4">
        <f t="shared" si="0"/>
        <v>461.9</v>
      </c>
      <c r="H4">
        <f t="shared" si="1"/>
        <v>461.90476190476187</v>
      </c>
      <c r="I4">
        <f t="shared" si="2"/>
        <v>23.100000000000023</v>
      </c>
      <c r="J4" s="1">
        <f t="shared" si="3"/>
        <v>485.00476190476189</v>
      </c>
    </row>
    <row r="5" spans="1:10">
      <c r="B5" t="s">
        <v>40</v>
      </c>
      <c r="C5">
        <v>3336</v>
      </c>
      <c r="D5">
        <v>625</v>
      </c>
      <c r="F5">
        <f t="shared" si="0"/>
        <v>595.24</v>
      </c>
      <c r="H5">
        <f t="shared" si="1"/>
        <v>595.23809523809518</v>
      </c>
      <c r="I5">
        <f t="shared" si="2"/>
        <v>29.759999999999991</v>
      </c>
      <c r="J5" s="1">
        <f t="shared" si="3"/>
        <v>624.99809523809517</v>
      </c>
    </row>
    <row r="6" spans="1:10">
      <c r="B6" t="s">
        <v>40</v>
      </c>
      <c r="C6">
        <v>3604</v>
      </c>
      <c r="D6">
        <v>485</v>
      </c>
      <c r="F6">
        <f t="shared" si="0"/>
        <v>461.9</v>
      </c>
      <c r="H6">
        <f t="shared" si="1"/>
        <v>461.90476190476187</v>
      </c>
      <c r="I6">
        <f t="shared" si="2"/>
        <v>23.100000000000023</v>
      </c>
      <c r="J6" s="1">
        <f t="shared" si="3"/>
        <v>485.00476190476189</v>
      </c>
    </row>
    <row r="7" spans="1:10">
      <c r="B7" t="s">
        <v>40</v>
      </c>
      <c r="C7">
        <v>3335</v>
      </c>
      <c r="D7">
        <v>995</v>
      </c>
      <c r="F7">
        <f t="shared" si="0"/>
        <v>947.62</v>
      </c>
      <c r="H7">
        <f t="shared" si="1"/>
        <v>947.61904761904759</v>
      </c>
      <c r="I7">
        <f t="shared" si="2"/>
        <v>47.379999999999995</v>
      </c>
      <c r="J7" s="1">
        <f t="shared" si="3"/>
        <v>994.99904761904759</v>
      </c>
    </row>
    <row r="8" spans="1:10">
      <c r="B8" t="s">
        <v>40</v>
      </c>
      <c r="C8">
        <v>3604</v>
      </c>
      <c r="D8">
        <v>485</v>
      </c>
      <c r="F8">
        <f t="shared" si="0"/>
        <v>461.9</v>
      </c>
      <c r="H8">
        <f t="shared" si="1"/>
        <v>461.90476190476187</v>
      </c>
      <c r="I8">
        <f t="shared" si="2"/>
        <v>23.100000000000023</v>
      </c>
      <c r="J8" s="1">
        <f t="shared" si="3"/>
        <v>485.00476190476189</v>
      </c>
    </row>
    <row r="9" spans="1:10">
      <c r="B9" t="s">
        <v>40</v>
      </c>
      <c r="C9">
        <v>3604</v>
      </c>
      <c r="D9">
        <v>485</v>
      </c>
      <c r="F9">
        <f t="shared" si="0"/>
        <v>461.9</v>
      </c>
      <c r="H9">
        <f t="shared" si="1"/>
        <v>461.90476190476187</v>
      </c>
      <c r="I9">
        <f t="shared" si="2"/>
        <v>23.100000000000023</v>
      </c>
      <c r="J9" s="1">
        <f t="shared" si="3"/>
        <v>485.00476190476189</v>
      </c>
    </row>
    <row r="10" spans="1:10">
      <c r="B10" t="s">
        <v>40</v>
      </c>
      <c r="C10">
        <v>3335</v>
      </c>
      <c r="D10">
        <v>995</v>
      </c>
      <c r="F10">
        <f t="shared" si="0"/>
        <v>947.62</v>
      </c>
      <c r="H10">
        <f t="shared" si="1"/>
        <v>947.61904761904759</v>
      </c>
      <c r="I10">
        <f t="shared" si="2"/>
        <v>47.379999999999995</v>
      </c>
      <c r="J10" s="1">
        <f t="shared" si="3"/>
        <v>994.99904761904759</v>
      </c>
    </row>
    <row r="11" spans="1:10">
      <c r="B11" t="s">
        <v>40</v>
      </c>
      <c r="C11">
        <v>3337</v>
      </c>
      <c r="D11">
        <v>1050</v>
      </c>
      <c r="F11">
        <f t="shared" si="0"/>
        <v>1000</v>
      </c>
      <c r="H11">
        <f t="shared" si="1"/>
        <v>1000</v>
      </c>
      <c r="I11">
        <f t="shared" si="2"/>
        <v>50</v>
      </c>
      <c r="J11" s="1">
        <f t="shared" si="3"/>
        <v>1050</v>
      </c>
    </row>
    <row r="12" spans="1:10">
      <c r="B12" t="s">
        <v>42</v>
      </c>
      <c r="C12">
        <v>5530</v>
      </c>
      <c r="D12">
        <v>1825</v>
      </c>
      <c r="F12">
        <f t="shared" si="0"/>
        <v>1738.1</v>
      </c>
      <c r="H12">
        <f t="shared" si="1"/>
        <v>1738.0952380952381</v>
      </c>
      <c r="I12">
        <f t="shared" si="2"/>
        <v>86.900000000000091</v>
      </c>
      <c r="J12" s="1">
        <f t="shared" si="3"/>
        <v>1824.9952380952382</v>
      </c>
    </row>
    <row r="13" spans="1:10">
      <c r="B13" t="s">
        <v>40</v>
      </c>
      <c r="C13">
        <v>3336</v>
      </c>
      <c r="D13">
        <v>825</v>
      </c>
      <c r="F13">
        <f t="shared" si="0"/>
        <v>785.71</v>
      </c>
      <c r="H13">
        <f t="shared" si="1"/>
        <v>785.71428571428567</v>
      </c>
      <c r="I13">
        <f t="shared" si="2"/>
        <v>39.289999999999964</v>
      </c>
      <c r="J13" s="1">
        <f t="shared" si="3"/>
        <v>825.00428571428563</v>
      </c>
    </row>
    <row r="14" spans="1:10">
      <c r="B14" t="s">
        <v>40</v>
      </c>
      <c r="C14">
        <v>3604</v>
      </c>
      <c r="D14">
        <v>485</v>
      </c>
      <c r="F14">
        <f t="shared" si="0"/>
        <v>461.9</v>
      </c>
      <c r="H14">
        <f t="shared" si="1"/>
        <v>461.90476190476187</v>
      </c>
      <c r="I14">
        <f t="shared" si="2"/>
        <v>23.100000000000023</v>
      </c>
      <c r="J14" s="1">
        <f t="shared" si="3"/>
        <v>485.00476190476189</v>
      </c>
    </row>
    <row r="15" spans="1:10">
      <c r="B15" t="s">
        <v>40</v>
      </c>
      <c r="C15">
        <v>3604</v>
      </c>
      <c r="D15">
        <v>485</v>
      </c>
      <c r="F15">
        <f t="shared" si="0"/>
        <v>461.9</v>
      </c>
      <c r="H15">
        <f t="shared" si="1"/>
        <v>461.90476190476187</v>
      </c>
      <c r="I15">
        <f t="shared" si="2"/>
        <v>23.100000000000023</v>
      </c>
      <c r="J15" s="1">
        <f t="shared" si="3"/>
        <v>485.00476190476189</v>
      </c>
    </row>
    <row r="16" spans="1:10">
      <c r="B16" t="s">
        <v>40</v>
      </c>
      <c r="C16">
        <v>3335</v>
      </c>
      <c r="D16">
        <v>995</v>
      </c>
      <c r="F16">
        <f t="shared" si="0"/>
        <v>947.62</v>
      </c>
      <c r="H16">
        <f t="shared" si="1"/>
        <v>947.61904761904759</v>
      </c>
      <c r="I16">
        <f t="shared" si="2"/>
        <v>47.379999999999995</v>
      </c>
      <c r="J16" s="1">
        <f t="shared" si="3"/>
        <v>994.99904761904759</v>
      </c>
    </row>
    <row r="17" spans="2:10">
      <c r="B17" t="s">
        <v>40</v>
      </c>
      <c r="C17">
        <v>3604</v>
      </c>
      <c r="D17">
        <v>485</v>
      </c>
      <c r="F17">
        <f t="shared" si="0"/>
        <v>461.9</v>
      </c>
      <c r="H17">
        <f t="shared" si="1"/>
        <v>461.90476190476187</v>
      </c>
      <c r="I17">
        <f t="shared" si="2"/>
        <v>23.100000000000023</v>
      </c>
      <c r="J17" s="1">
        <f t="shared" si="3"/>
        <v>485.00476190476189</v>
      </c>
    </row>
    <row r="18" spans="2:10">
      <c r="B18" t="s">
        <v>40</v>
      </c>
      <c r="C18">
        <v>3335</v>
      </c>
      <c r="D18">
        <v>995</v>
      </c>
      <c r="E18">
        <v>3</v>
      </c>
      <c r="F18">
        <f t="shared" si="0"/>
        <v>947.62</v>
      </c>
      <c r="H18">
        <f t="shared" si="1"/>
        <v>947.61904761904759</v>
      </c>
      <c r="I18">
        <f t="shared" si="2"/>
        <v>47.379999999999995</v>
      </c>
      <c r="J18" s="1">
        <f t="shared" si="3"/>
        <v>994.99904761904759</v>
      </c>
    </row>
    <row r="19" spans="2:10">
      <c r="B19" t="s">
        <v>43</v>
      </c>
      <c r="C19">
        <v>2081</v>
      </c>
      <c r="D19">
        <v>1450</v>
      </c>
      <c r="F19">
        <f t="shared" si="0"/>
        <v>1380.95</v>
      </c>
      <c r="H19">
        <f t="shared" si="1"/>
        <v>1380.952380952381</v>
      </c>
      <c r="I19">
        <f t="shared" si="2"/>
        <v>69.049999999999955</v>
      </c>
      <c r="J19" s="1">
        <f t="shared" si="3"/>
        <v>1450.0023809523809</v>
      </c>
    </row>
    <row r="20" spans="2:10">
      <c r="B20" t="s">
        <v>43</v>
      </c>
      <c r="C20">
        <v>2081</v>
      </c>
      <c r="D20">
        <v>1450</v>
      </c>
      <c r="F20">
        <f t="shared" si="0"/>
        <v>1380.95</v>
      </c>
      <c r="H20">
        <f t="shared" si="1"/>
        <v>1380.952380952381</v>
      </c>
      <c r="I20">
        <f t="shared" si="2"/>
        <v>69.049999999999955</v>
      </c>
      <c r="J20" s="1">
        <f t="shared" si="3"/>
        <v>1450.0023809523809</v>
      </c>
    </row>
    <row r="21" spans="2:10">
      <c r="B21" t="s">
        <v>44</v>
      </c>
      <c r="C21">
        <v>5968</v>
      </c>
      <c r="D21">
        <v>1995</v>
      </c>
      <c r="F21">
        <f t="shared" si="0"/>
        <v>1900</v>
      </c>
      <c r="H21">
        <f t="shared" si="1"/>
        <v>1900</v>
      </c>
      <c r="I21">
        <f t="shared" si="2"/>
        <v>95</v>
      </c>
      <c r="J21" s="1">
        <f t="shared" si="3"/>
        <v>1995</v>
      </c>
    </row>
    <row r="22" spans="2:10">
      <c r="B22" t="s">
        <v>45</v>
      </c>
      <c r="C22">
        <v>4227</v>
      </c>
      <c r="D22">
        <v>365</v>
      </c>
      <c r="F22">
        <f t="shared" si="0"/>
        <v>347.62</v>
      </c>
      <c r="H22">
        <f t="shared" si="1"/>
        <v>347.61904761904759</v>
      </c>
      <c r="I22">
        <f t="shared" si="2"/>
        <v>17.379999999999995</v>
      </c>
      <c r="J22" s="1">
        <f t="shared" si="3"/>
        <v>364.99904761904759</v>
      </c>
    </row>
    <row r="23" spans="2:10">
      <c r="B23" t="s">
        <v>46</v>
      </c>
      <c r="C23">
        <v>3613</v>
      </c>
      <c r="D23">
        <v>425</v>
      </c>
      <c r="F23">
        <f t="shared" si="0"/>
        <v>404.76</v>
      </c>
      <c r="H23">
        <f t="shared" si="1"/>
        <v>404.76190476190476</v>
      </c>
      <c r="I23">
        <f t="shared" si="2"/>
        <v>20.240000000000009</v>
      </c>
      <c r="J23" s="1">
        <f t="shared" si="3"/>
        <v>425.00190476190477</v>
      </c>
    </row>
    <row r="24" spans="2:10">
      <c r="B24" t="s">
        <v>47</v>
      </c>
      <c r="C24">
        <v>4221</v>
      </c>
      <c r="D24">
        <v>675</v>
      </c>
      <c r="F24">
        <f t="shared" si="0"/>
        <v>642.86</v>
      </c>
      <c r="H24">
        <f t="shared" si="1"/>
        <v>642.85714285714278</v>
      </c>
      <c r="I24">
        <f t="shared" si="2"/>
        <v>32.139999999999986</v>
      </c>
      <c r="J24" s="1">
        <f t="shared" si="3"/>
        <v>674.99714285714276</v>
      </c>
    </row>
    <row r="25" spans="2:10">
      <c r="B25" t="s">
        <v>48</v>
      </c>
      <c r="C25">
        <v>4232</v>
      </c>
      <c r="D25">
        <v>355</v>
      </c>
      <c r="E25">
        <v>2</v>
      </c>
      <c r="F25">
        <f t="shared" si="0"/>
        <v>338.1</v>
      </c>
      <c r="H25">
        <f t="shared" si="1"/>
        <v>338.09523809523807</v>
      </c>
      <c r="I25">
        <f t="shared" si="2"/>
        <v>16.899999999999977</v>
      </c>
      <c r="J25" s="1">
        <f t="shared" si="3"/>
        <v>354.99523809523805</v>
      </c>
    </row>
    <row r="26" spans="2:10">
      <c r="B26" t="s">
        <v>49</v>
      </c>
      <c r="C26">
        <v>3610</v>
      </c>
      <c r="D26">
        <v>535</v>
      </c>
      <c r="F26">
        <f t="shared" si="0"/>
        <v>509.52</v>
      </c>
      <c r="H26">
        <f t="shared" si="1"/>
        <v>509.52380952380952</v>
      </c>
      <c r="I26">
        <f t="shared" si="2"/>
        <v>25.480000000000018</v>
      </c>
      <c r="J26" s="1">
        <f t="shared" si="3"/>
        <v>535.00380952380954</v>
      </c>
    </row>
    <row r="27" spans="2:10">
      <c r="B27" t="s">
        <v>46</v>
      </c>
      <c r="C27">
        <v>3613</v>
      </c>
      <c r="D27">
        <v>425</v>
      </c>
      <c r="E27">
        <v>2</v>
      </c>
      <c r="F27">
        <f t="shared" si="0"/>
        <v>404.76</v>
      </c>
      <c r="H27">
        <f t="shared" si="1"/>
        <v>404.76190476190476</v>
      </c>
      <c r="I27">
        <f t="shared" si="2"/>
        <v>20.240000000000009</v>
      </c>
      <c r="J27" s="1">
        <f t="shared" si="3"/>
        <v>425.00190476190477</v>
      </c>
    </row>
    <row r="28" spans="2:10">
      <c r="B28" t="s">
        <v>48</v>
      </c>
      <c r="C28">
        <v>3601</v>
      </c>
      <c r="D28">
        <v>545</v>
      </c>
      <c r="F28">
        <f t="shared" si="0"/>
        <v>519.04999999999995</v>
      </c>
      <c r="H28">
        <f t="shared" si="1"/>
        <v>519.04761904761904</v>
      </c>
      <c r="I28">
        <f t="shared" si="2"/>
        <v>25.950000000000045</v>
      </c>
      <c r="J28" s="1">
        <f t="shared" si="3"/>
        <v>544.99761904761908</v>
      </c>
    </row>
    <row r="29" spans="2:10">
      <c r="B29" t="s">
        <v>48</v>
      </c>
      <c r="C29">
        <v>4236</v>
      </c>
      <c r="D29">
        <v>365</v>
      </c>
      <c r="F29">
        <f t="shared" si="0"/>
        <v>347.62</v>
      </c>
      <c r="H29">
        <f t="shared" si="1"/>
        <v>347.61904761904759</v>
      </c>
      <c r="I29">
        <f t="shared" si="2"/>
        <v>17.379999999999995</v>
      </c>
      <c r="J29" s="1">
        <f t="shared" si="3"/>
        <v>364.99904761904759</v>
      </c>
    </row>
    <row r="30" spans="2:10">
      <c r="B30" t="s">
        <v>50</v>
      </c>
      <c r="C30">
        <v>4238</v>
      </c>
      <c r="D30">
        <v>875</v>
      </c>
      <c r="F30">
        <f t="shared" si="0"/>
        <v>833.33</v>
      </c>
      <c r="H30">
        <f t="shared" si="1"/>
        <v>833.33333333333326</v>
      </c>
      <c r="I30">
        <f t="shared" si="2"/>
        <v>41.669999999999959</v>
      </c>
      <c r="J30" s="1">
        <f t="shared" si="3"/>
        <v>875.00333333333322</v>
      </c>
    </row>
    <row r="31" spans="2:10">
      <c r="B31" t="s">
        <v>51</v>
      </c>
      <c r="C31">
        <v>3259</v>
      </c>
      <c r="D31">
        <v>295</v>
      </c>
      <c r="F31">
        <f t="shared" si="0"/>
        <v>280.95</v>
      </c>
      <c r="H31">
        <f t="shared" si="1"/>
        <v>280.95238095238096</v>
      </c>
      <c r="I31">
        <f t="shared" si="2"/>
        <v>14.050000000000011</v>
      </c>
      <c r="J31" s="1">
        <f t="shared" si="3"/>
        <v>295.00238095238097</v>
      </c>
    </row>
    <row r="32" spans="2:10">
      <c r="B32" t="s">
        <v>48</v>
      </c>
      <c r="C32">
        <v>3601</v>
      </c>
      <c r="D32">
        <v>545</v>
      </c>
      <c r="F32">
        <f t="shared" si="0"/>
        <v>519.04999999999995</v>
      </c>
      <c r="H32">
        <f t="shared" si="1"/>
        <v>519.04761904761904</v>
      </c>
      <c r="I32">
        <f t="shared" si="2"/>
        <v>25.950000000000045</v>
      </c>
      <c r="J32" s="1">
        <f t="shared" si="3"/>
        <v>544.99761904761908</v>
      </c>
    </row>
    <row r="33" spans="2:10">
      <c r="B33" t="s">
        <v>52</v>
      </c>
      <c r="C33">
        <v>4237</v>
      </c>
      <c r="D33">
        <v>375</v>
      </c>
      <c r="F33">
        <f t="shared" si="0"/>
        <v>357.14</v>
      </c>
      <c r="H33">
        <f t="shared" si="1"/>
        <v>357.14285714285711</v>
      </c>
      <c r="I33">
        <f t="shared" si="2"/>
        <v>17.860000000000014</v>
      </c>
      <c r="J33" s="1">
        <f t="shared" si="3"/>
        <v>375.00285714285712</v>
      </c>
    </row>
    <row r="34" spans="2:10">
      <c r="B34" t="s">
        <v>53</v>
      </c>
      <c r="C34">
        <v>4219</v>
      </c>
      <c r="D34">
        <v>395</v>
      </c>
      <c r="F34">
        <f t="shared" si="0"/>
        <v>376.19</v>
      </c>
      <c r="H34">
        <f t="shared" si="1"/>
        <v>376.19047619047615</v>
      </c>
      <c r="I34">
        <f t="shared" si="2"/>
        <v>18.810000000000002</v>
      </c>
      <c r="J34" s="1">
        <f t="shared" si="3"/>
        <v>395.00047619047615</v>
      </c>
    </row>
    <row r="35" spans="2:10">
      <c r="B35" t="s">
        <v>49</v>
      </c>
      <c r="C35">
        <v>995</v>
      </c>
      <c r="D35">
        <v>395</v>
      </c>
      <c r="F35">
        <f t="shared" si="0"/>
        <v>376.19</v>
      </c>
      <c r="H35">
        <f t="shared" si="1"/>
        <v>376.19047619047615</v>
      </c>
      <c r="I35">
        <f t="shared" si="2"/>
        <v>18.810000000000002</v>
      </c>
      <c r="J35" s="1">
        <f t="shared" si="3"/>
        <v>395.00047619047615</v>
      </c>
    </row>
    <row r="36" spans="2:10">
      <c r="B36" t="s">
        <v>46</v>
      </c>
      <c r="C36">
        <v>3612</v>
      </c>
      <c r="D36">
        <v>575</v>
      </c>
      <c r="F36">
        <f t="shared" si="0"/>
        <v>547.62</v>
      </c>
      <c r="H36">
        <f t="shared" si="1"/>
        <v>547.61904761904759</v>
      </c>
      <c r="I36">
        <f t="shared" si="2"/>
        <v>27.379999999999995</v>
      </c>
      <c r="J36" s="1">
        <f t="shared" si="3"/>
        <v>574.99904761904759</v>
      </c>
    </row>
    <row r="37" spans="2:10">
      <c r="B37" t="s">
        <v>48</v>
      </c>
      <c r="C37">
        <v>3601</v>
      </c>
      <c r="D37">
        <v>545</v>
      </c>
      <c r="F37">
        <f t="shared" si="0"/>
        <v>519.04999999999995</v>
      </c>
      <c r="H37">
        <f t="shared" si="1"/>
        <v>519.04761904761904</v>
      </c>
      <c r="I37">
        <f t="shared" si="2"/>
        <v>25.950000000000045</v>
      </c>
      <c r="J37" s="1">
        <f t="shared" si="3"/>
        <v>544.99761904761908</v>
      </c>
    </row>
    <row r="38" spans="2:10">
      <c r="B38" t="s">
        <v>46</v>
      </c>
      <c r="C38">
        <v>3842</v>
      </c>
      <c r="D38">
        <v>350</v>
      </c>
      <c r="F38">
        <f t="shared" si="0"/>
        <v>333.33</v>
      </c>
      <c r="H38">
        <f t="shared" si="1"/>
        <v>333.33333333333331</v>
      </c>
      <c r="I38">
        <f t="shared" si="2"/>
        <v>16.670000000000016</v>
      </c>
      <c r="J38" s="1">
        <f t="shared" si="3"/>
        <v>350.00333333333333</v>
      </c>
    </row>
    <row r="39" spans="2:10">
      <c r="B39" t="s">
        <v>54</v>
      </c>
      <c r="C39">
        <v>3934</v>
      </c>
      <c r="D39">
        <v>425</v>
      </c>
      <c r="F39">
        <f t="shared" si="0"/>
        <v>404.76</v>
      </c>
      <c r="H39">
        <f t="shared" si="1"/>
        <v>404.76190476190476</v>
      </c>
      <c r="I39">
        <f t="shared" si="2"/>
        <v>20.240000000000009</v>
      </c>
      <c r="J39" s="1">
        <f t="shared" si="3"/>
        <v>425.00190476190477</v>
      </c>
    </row>
    <row r="40" spans="2:10">
      <c r="B40" t="s">
        <v>51</v>
      </c>
      <c r="C40">
        <v>4216</v>
      </c>
      <c r="D40">
        <v>275</v>
      </c>
      <c r="F40">
        <f t="shared" si="0"/>
        <v>261.89999999999998</v>
      </c>
      <c r="H40">
        <f t="shared" si="1"/>
        <v>261.90476190476187</v>
      </c>
      <c r="I40">
        <f t="shared" si="2"/>
        <v>13.100000000000023</v>
      </c>
      <c r="J40" s="1">
        <f t="shared" si="3"/>
        <v>275.00476190476189</v>
      </c>
    </row>
    <row r="41" spans="2:10">
      <c r="B41" t="s">
        <v>54</v>
      </c>
      <c r="C41">
        <v>3934</v>
      </c>
      <c r="D41">
        <v>425</v>
      </c>
      <c r="F41">
        <f t="shared" si="0"/>
        <v>404.76</v>
      </c>
      <c r="H41">
        <f t="shared" si="1"/>
        <v>404.76190476190476</v>
      </c>
      <c r="I41">
        <f t="shared" si="2"/>
        <v>20.240000000000009</v>
      </c>
      <c r="J41" s="1">
        <f t="shared" si="3"/>
        <v>425.00190476190477</v>
      </c>
    </row>
    <row r="42" spans="2:10">
      <c r="B42" t="s">
        <v>55</v>
      </c>
      <c r="C42">
        <v>3844</v>
      </c>
      <c r="D42">
        <v>315</v>
      </c>
      <c r="F42">
        <f t="shared" si="0"/>
        <v>300</v>
      </c>
      <c r="H42">
        <f t="shared" si="1"/>
        <v>300</v>
      </c>
      <c r="I42">
        <f t="shared" si="2"/>
        <v>15</v>
      </c>
      <c r="J42" s="1">
        <f t="shared" si="3"/>
        <v>315</v>
      </c>
    </row>
    <row r="43" spans="2:10">
      <c r="B43" t="s">
        <v>54</v>
      </c>
      <c r="C43">
        <v>3234</v>
      </c>
      <c r="D43">
        <v>425</v>
      </c>
      <c r="E43">
        <v>12</v>
      </c>
      <c r="F43">
        <f t="shared" si="0"/>
        <v>404.76</v>
      </c>
      <c r="H43">
        <f t="shared" si="1"/>
        <v>404.76190476190476</v>
      </c>
      <c r="I43">
        <f t="shared" si="2"/>
        <v>20.240000000000009</v>
      </c>
      <c r="J43" s="1">
        <f t="shared" si="3"/>
        <v>425.00190476190477</v>
      </c>
    </row>
    <row r="44" spans="2:10">
      <c r="B44" t="s">
        <v>56</v>
      </c>
      <c r="C44">
        <v>3842</v>
      </c>
      <c r="D44">
        <v>350</v>
      </c>
      <c r="F44">
        <f t="shared" si="0"/>
        <v>333.33</v>
      </c>
      <c r="H44">
        <f t="shared" si="1"/>
        <v>333.33333333333331</v>
      </c>
      <c r="I44">
        <f t="shared" si="2"/>
        <v>16.670000000000016</v>
      </c>
      <c r="J44" s="1">
        <f t="shared" si="3"/>
        <v>350.00333333333333</v>
      </c>
    </row>
    <row r="45" spans="2:10">
      <c r="B45" t="s">
        <v>51</v>
      </c>
      <c r="C45">
        <v>4216</v>
      </c>
      <c r="D45">
        <v>275</v>
      </c>
      <c r="F45">
        <f t="shared" si="0"/>
        <v>261.89999999999998</v>
      </c>
      <c r="H45">
        <f t="shared" si="1"/>
        <v>261.90476190476187</v>
      </c>
      <c r="I45">
        <f t="shared" si="2"/>
        <v>13.100000000000023</v>
      </c>
      <c r="J45" s="1">
        <f t="shared" si="3"/>
        <v>275.00476190476189</v>
      </c>
    </row>
    <row r="46" spans="2:10">
      <c r="B46" t="s">
        <v>54</v>
      </c>
      <c r="C46">
        <v>3934</v>
      </c>
      <c r="D46">
        <v>425</v>
      </c>
      <c r="E46">
        <v>30</v>
      </c>
      <c r="F46">
        <f t="shared" si="0"/>
        <v>404.76</v>
      </c>
      <c r="H46">
        <f t="shared" si="1"/>
        <v>404.76190476190476</v>
      </c>
      <c r="I46">
        <f t="shared" si="2"/>
        <v>20.240000000000009</v>
      </c>
      <c r="J46" s="1">
        <f t="shared" si="3"/>
        <v>425.00190476190477</v>
      </c>
    </row>
    <row r="47" spans="2:10">
      <c r="B47" t="s">
        <v>57</v>
      </c>
      <c r="C47">
        <v>3842</v>
      </c>
      <c r="D47">
        <v>350</v>
      </c>
      <c r="E47">
        <v>7</v>
      </c>
      <c r="F47">
        <f t="shared" si="0"/>
        <v>333.33</v>
      </c>
      <c r="H47">
        <f t="shared" si="1"/>
        <v>333.33333333333331</v>
      </c>
      <c r="I47">
        <f t="shared" si="2"/>
        <v>16.670000000000016</v>
      </c>
      <c r="J47" s="1">
        <f t="shared" si="3"/>
        <v>350.00333333333333</v>
      </c>
    </row>
    <row r="48" spans="2:10">
      <c r="B48" t="s">
        <v>58</v>
      </c>
      <c r="C48">
        <v>3844</v>
      </c>
      <c r="D48">
        <v>315</v>
      </c>
      <c r="F48">
        <f t="shared" si="0"/>
        <v>300</v>
      </c>
      <c r="H48">
        <f t="shared" si="1"/>
        <v>300</v>
      </c>
      <c r="I48">
        <f t="shared" si="2"/>
        <v>15</v>
      </c>
      <c r="J48" s="1">
        <f t="shared" si="3"/>
        <v>315</v>
      </c>
    </row>
    <row r="49" spans="2:10">
      <c r="B49" t="s">
        <v>59</v>
      </c>
      <c r="C49">
        <v>4237</v>
      </c>
      <c r="D49">
        <v>365</v>
      </c>
      <c r="F49">
        <f t="shared" si="0"/>
        <v>347.62</v>
      </c>
      <c r="H49">
        <f t="shared" si="1"/>
        <v>347.61904761904759</v>
      </c>
      <c r="I49">
        <f t="shared" si="2"/>
        <v>17.379999999999995</v>
      </c>
      <c r="J49" s="1">
        <f t="shared" si="3"/>
        <v>364.99904761904759</v>
      </c>
    </row>
    <row r="50" spans="2:10">
      <c r="B50" t="s">
        <v>60</v>
      </c>
      <c r="C50">
        <v>4231</v>
      </c>
      <c r="D50">
        <v>375</v>
      </c>
      <c r="E50">
        <v>2</v>
      </c>
      <c r="F50">
        <f t="shared" si="0"/>
        <v>357.14</v>
      </c>
      <c r="H50">
        <f t="shared" si="1"/>
        <v>357.14285714285711</v>
      </c>
      <c r="I50">
        <f t="shared" si="2"/>
        <v>17.860000000000014</v>
      </c>
      <c r="J50" s="1">
        <f t="shared" si="3"/>
        <v>375.00285714285712</v>
      </c>
    </row>
    <row r="51" spans="2:10">
      <c r="B51" t="s">
        <v>45</v>
      </c>
      <c r="C51">
        <v>4223</v>
      </c>
      <c r="D51">
        <v>975</v>
      </c>
      <c r="F51">
        <f t="shared" si="0"/>
        <v>928.57</v>
      </c>
      <c r="H51">
        <f t="shared" si="1"/>
        <v>928.57142857142856</v>
      </c>
      <c r="I51">
        <f t="shared" si="2"/>
        <v>46.42999999999995</v>
      </c>
      <c r="J51" s="1">
        <f t="shared" si="3"/>
        <v>975.00142857142851</v>
      </c>
    </row>
    <row r="52" spans="2:10">
      <c r="B52" t="s">
        <v>54</v>
      </c>
      <c r="C52">
        <v>3934</v>
      </c>
      <c r="D52">
        <v>425</v>
      </c>
      <c r="E52">
        <v>2</v>
      </c>
      <c r="F52">
        <f t="shared" si="0"/>
        <v>404.76</v>
      </c>
      <c r="H52">
        <f t="shared" si="1"/>
        <v>404.76190476190476</v>
      </c>
      <c r="I52">
        <f t="shared" si="2"/>
        <v>20.240000000000009</v>
      </c>
      <c r="J52" s="1">
        <f t="shared" si="3"/>
        <v>425.00190476190477</v>
      </c>
    </row>
    <row r="53" spans="2:10">
      <c r="B53" t="s">
        <v>48</v>
      </c>
      <c r="C53">
        <v>3601</v>
      </c>
      <c r="D53">
        <v>545</v>
      </c>
      <c r="F53">
        <f t="shared" si="0"/>
        <v>519.04999999999995</v>
      </c>
      <c r="H53">
        <f t="shared" si="1"/>
        <v>519.04761904761904</v>
      </c>
      <c r="I53">
        <f t="shared" si="2"/>
        <v>25.950000000000045</v>
      </c>
      <c r="J53" s="1">
        <f t="shared" si="3"/>
        <v>544.99761904761908</v>
      </c>
    </row>
    <row r="54" spans="2:10">
      <c r="B54" t="s">
        <v>61</v>
      </c>
      <c r="C54">
        <v>3613</v>
      </c>
      <c r="D54">
        <v>425</v>
      </c>
      <c r="F54">
        <f t="shared" si="0"/>
        <v>404.76</v>
      </c>
      <c r="H54">
        <f t="shared" si="1"/>
        <v>404.76190476190476</v>
      </c>
      <c r="I54">
        <f t="shared" si="2"/>
        <v>20.240000000000009</v>
      </c>
      <c r="J54" s="1">
        <f t="shared" si="3"/>
        <v>425.00190476190477</v>
      </c>
    </row>
    <row r="55" spans="2:10">
      <c r="B55" t="s">
        <v>57</v>
      </c>
      <c r="C55">
        <v>3612</v>
      </c>
      <c r="D55">
        <v>545</v>
      </c>
      <c r="F55">
        <f t="shared" si="0"/>
        <v>519.04999999999995</v>
      </c>
      <c r="H55">
        <f t="shared" si="1"/>
        <v>519.04761904761904</v>
      </c>
      <c r="I55">
        <f t="shared" si="2"/>
        <v>25.950000000000045</v>
      </c>
      <c r="J55" s="1">
        <f t="shared" si="3"/>
        <v>544.99761904761908</v>
      </c>
    </row>
    <row r="56" spans="2:10">
      <c r="B56" t="s">
        <v>48</v>
      </c>
      <c r="C56">
        <v>3601</v>
      </c>
      <c r="D56">
        <v>545</v>
      </c>
      <c r="F56">
        <f t="shared" si="0"/>
        <v>519.04999999999995</v>
      </c>
      <c r="H56">
        <f t="shared" si="1"/>
        <v>519.04761904761904</v>
      </c>
      <c r="I56">
        <f t="shared" si="2"/>
        <v>25.950000000000045</v>
      </c>
      <c r="J56" s="1">
        <f t="shared" si="3"/>
        <v>544.99761904761908</v>
      </c>
    </row>
    <row r="57" spans="2:10">
      <c r="B57" t="s">
        <v>48</v>
      </c>
      <c r="C57">
        <v>3600</v>
      </c>
      <c r="D57">
        <v>545</v>
      </c>
      <c r="F57">
        <f t="shared" si="0"/>
        <v>519.04999999999995</v>
      </c>
      <c r="H57">
        <f t="shared" si="1"/>
        <v>519.04761904761904</v>
      </c>
      <c r="I57">
        <f t="shared" si="2"/>
        <v>25.950000000000045</v>
      </c>
      <c r="J57" s="1">
        <f t="shared" si="3"/>
        <v>544.99761904761908</v>
      </c>
    </row>
    <row r="58" spans="2:10">
      <c r="B58" t="s">
        <v>62</v>
      </c>
      <c r="C58">
        <v>3607</v>
      </c>
      <c r="D58">
        <v>575</v>
      </c>
      <c r="F58">
        <f t="shared" si="0"/>
        <v>547.62</v>
      </c>
      <c r="H58">
        <f t="shared" si="1"/>
        <v>547.61904761904759</v>
      </c>
      <c r="I58">
        <f t="shared" si="2"/>
        <v>27.379999999999995</v>
      </c>
      <c r="J58" s="1">
        <f t="shared" si="3"/>
        <v>574.99904761904759</v>
      </c>
    </row>
    <row r="59" spans="2:10">
      <c r="B59" t="s">
        <v>48</v>
      </c>
      <c r="C59">
        <v>3603</v>
      </c>
      <c r="D59">
        <v>545</v>
      </c>
      <c r="F59">
        <f t="shared" si="0"/>
        <v>519.04999999999995</v>
      </c>
      <c r="H59">
        <f t="shared" si="1"/>
        <v>519.04761904761904</v>
      </c>
      <c r="I59">
        <f t="shared" si="2"/>
        <v>25.950000000000045</v>
      </c>
      <c r="J59" s="1">
        <f t="shared" si="3"/>
        <v>544.99761904761908</v>
      </c>
    </row>
    <row r="60" spans="2:10">
      <c r="B60" t="s">
        <v>40</v>
      </c>
      <c r="C60">
        <v>3335</v>
      </c>
      <c r="D60">
        <v>995</v>
      </c>
      <c r="F60">
        <f t="shared" si="0"/>
        <v>947.62</v>
      </c>
      <c r="H60">
        <f t="shared" si="1"/>
        <v>947.61904761904759</v>
      </c>
      <c r="I60">
        <f t="shared" si="2"/>
        <v>47.379999999999995</v>
      </c>
      <c r="J60" s="1">
        <f t="shared" si="3"/>
        <v>994.99904761904759</v>
      </c>
    </row>
    <row r="61" spans="2:10">
      <c r="B61" t="s">
        <v>40</v>
      </c>
      <c r="C61">
        <v>3604</v>
      </c>
      <c r="D61">
        <v>485</v>
      </c>
      <c r="E61">
        <v>2</v>
      </c>
      <c r="F61">
        <f t="shared" si="0"/>
        <v>461.9</v>
      </c>
      <c r="H61">
        <f t="shared" si="1"/>
        <v>461.90476190476187</v>
      </c>
      <c r="I61">
        <f t="shared" si="2"/>
        <v>23.100000000000023</v>
      </c>
      <c r="J61" s="1">
        <f t="shared" si="3"/>
        <v>485.00476190476189</v>
      </c>
    </row>
    <row r="62" spans="2:10">
      <c r="B62" t="s">
        <v>40</v>
      </c>
      <c r="C62">
        <v>3336</v>
      </c>
      <c r="D62">
        <v>825</v>
      </c>
      <c r="F62">
        <f t="shared" si="0"/>
        <v>785.71</v>
      </c>
      <c r="H62">
        <f t="shared" si="1"/>
        <v>785.71428571428567</v>
      </c>
      <c r="I62">
        <f t="shared" si="2"/>
        <v>39.289999999999964</v>
      </c>
      <c r="J62" s="1">
        <f t="shared" si="3"/>
        <v>825.00428571428563</v>
      </c>
    </row>
    <row r="63" spans="2:10">
      <c r="B63" t="s">
        <v>48</v>
      </c>
      <c r="C63">
        <v>3601</v>
      </c>
      <c r="D63">
        <v>545</v>
      </c>
      <c r="F63">
        <f t="shared" si="0"/>
        <v>519.04999999999995</v>
      </c>
      <c r="H63">
        <f t="shared" si="1"/>
        <v>519.04761904761904</v>
      </c>
      <c r="I63">
        <f t="shared" si="2"/>
        <v>25.950000000000045</v>
      </c>
      <c r="J63" s="1">
        <f t="shared" si="3"/>
        <v>544.99761904761908</v>
      </c>
    </row>
    <row r="64" spans="2:10">
      <c r="B64" t="s">
        <v>48</v>
      </c>
      <c r="C64">
        <v>3603</v>
      </c>
      <c r="D64">
        <v>545</v>
      </c>
      <c r="F64">
        <f t="shared" si="0"/>
        <v>519.04999999999995</v>
      </c>
      <c r="H64">
        <f t="shared" si="1"/>
        <v>519.04761904761904</v>
      </c>
      <c r="I64">
        <f t="shared" si="2"/>
        <v>25.950000000000045</v>
      </c>
      <c r="J64" s="1">
        <f t="shared" si="3"/>
        <v>544.99761904761908</v>
      </c>
    </row>
    <row r="65" spans="2:10">
      <c r="B65" t="s">
        <v>57</v>
      </c>
      <c r="C65">
        <v>3613</v>
      </c>
      <c r="D65">
        <v>425</v>
      </c>
      <c r="F65">
        <f t="shared" si="0"/>
        <v>404.76</v>
      </c>
      <c r="H65">
        <f t="shared" si="1"/>
        <v>404.76190476190476</v>
      </c>
      <c r="I65">
        <f t="shared" si="2"/>
        <v>20.240000000000009</v>
      </c>
      <c r="J65" s="1">
        <f t="shared" si="3"/>
        <v>425.00190476190477</v>
      </c>
    </row>
    <row r="66" spans="2:10">
      <c r="B66" t="s">
        <v>48</v>
      </c>
      <c r="C66">
        <v>3599</v>
      </c>
      <c r="D66">
        <v>545</v>
      </c>
      <c r="F66">
        <f t="shared" si="0"/>
        <v>519.04999999999995</v>
      </c>
      <c r="H66">
        <f t="shared" si="1"/>
        <v>519.04761904761904</v>
      </c>
      <c r="I66">
        <f t="shared" si="2"/>
        <v>25.950000000000045</v>
      </c>
      <c r="J66" s="1">
        <f t="shared" si="3"/>
        <v>544.99761904761908</v>
      </c>
    </row>
    <row r="67" spans="2:10">
      <c r="B67" t="s">
        <v>41</v>
      </c>
      <c r="C67">
        <v>6245</v>
      </c>
      <c r="D67">
        <v>995</v>
      </c>
      <c r="E67">
        <v>2</v>
      </c>
      <c r="F67">
        <f t="shared" ref="F67:F104" si="4">ROUND(IF(D67&gt;2500, D67/1.18, D67/1.05),2)</f>
        <v>947.62</v>
      </c>
      <c r="H67">
        <f t="shared" ref="H67:H104" si="5">D67/1.05</f>
        <v>947.61904761904759</v>
      </c>
      <c r="I67">
        <f t="shared" ref="I67:I104" si="6">D67-F67</f>
        <v>47.379999999999995</v>
      </c>
      <c r="J67" s="1">
        <f t="shared" ref="J67:J104" si="7">SUM(H67:I67)</f>
        <v>994.99904761904759</v>
      </c>
    </row>
    <row r="68" spans="2:10">
      <c r="B68" t="s">
        <v>48</v>
      </c>
      <c r="C68">
        <v>3603</v>
      </c>
      <c r="D68">
        <v>545</v>
      </c>
      <c r="E68">
        <v>2</v>
      </c>
      <c r="F68">
        <f t="shared" si="4"/>
        <v>519.04999999999995</v>
      </c>
      <c r="H68">
        <f t="shared" si="5"/>
        <v>519.04761904761904</v>
      </c>
      <c r="I68">
        <f t="shared" si="6"/>
        <v>25.950000000000045</v>
      </c>
      <c r="J68" s="1">
        <f t="shared" si="7"/>
        <v>544.99761904761908</v>
      </c>
    </row>
    <row r="69" spans="2:10">
      <c r="B69" t="s">
        <v>48</v>
      </c>
      <c r="C69">
        <v>3601</v>
      </c>
      <c r="D69">
        <v>545</v>
      </c>
      <c r="F69">
        <f t="shared" si="4"/>
        <v>519.04999999999995</v>
      </c>
      <c r="H69">
        <f t="shared" si="5"/>
        <v>519.04761904761904</v>
      </c>
      <c r="I69">
        <f t="shared" si="6"/>
        <v>25.950000000000045</v>
      </c>
      <c r="J69" s="1">
        <f t="shared" si="7"/>
        <v>544.99761904761908</v>
      </c>
    </row>
    <row r="70" spans="2:10">
      <c r="B70" t="s">
        <v>48</v>
      </c>
      <c r="C70">
        <v>3603</v>
      </c>
      <c r="D70">
        <v>545</v>
      </c>
      <c r="F70">
        <f t="shared" si="4"/>
        <v>519.04999999999995</v>
      </c>
      <c r="H70">
        <f t="shared" si="5"/>
        <v>519.04761904761904</v>
      </c>
      <c r="I70">
        <f t="shared" si="6"/>
        <v>25.950000000000045</v>
      </c>
      <c r="J70" s="1">
        <f t="shared" si="7"/>
        <v>544.99761904761908</v>
      </c>
    </row>
    <row r="71" spans="2:10">
      <c r="B71" t="s">
        <v>40</v>
      </c>
      <c r="C71">
        <v>3335</v>
      </c>
      <c r="D71">
        <v>995</v>
      </c>
      <c r="F71">
        <f t="shared" si="4"/>
        <v>947.62</v>
      </c>
      <c r="H71">
        <f t="shared" si="5"/>
        <v>947.61904761904759</v>
      </c>
      <c r="I71">
        <f t="shared" si="6"/>
        <v>47.379999999999995</v>
      </c>
      <c r="J71" s="1">
        <f t="shared" si="7"/>
        <v>994.99904761904759</v>
      </c>
    </row>
    <row r="72" spans="2:10">
      <c r="B72" t="s">
        <v>48</v>
      </c>
      <c r="C72">
        <v>3599</v>
      </c>
      <c r="D72">
        <v>545</v>
      </c>
      <c r="F72">
        <f t="shared" si="4"/>
        <v>519.04999999999995</v>
      </c>
      <c r="H72">
        <f t="shared" si="5"/>
        <v>519.04761904761904</v>
      </c>
      <c r="I72">
        <f t="shared" si="6"/>
        <v>25.950000000000045</v>
      </c>
      <c r="J72" s="1">
        <f t="shared" si="7"/>
        <v>544.99761904761908</v>
      </c>
    </row>
    <row r="73" spans="2:10">
      <c r="B73" t="s">
        <v>40</v>
      </c>
      <c r="C73">
        <v>336</v>
      </c>
      <c r="D73">
        <v>825</v>
      </c>
      <c r="F73">
        <f t="shared" si="4"/>
        <v>785.71</v>
      </c>
      <c r="H73">
        <f t="shared" si="5"/>
        <v>785.71428571428567</v>
      </c>
      <c r="I73">
        <f t="shared" si="6"/>
        <v>39.289999999999964</v>
      </c>
      <c r="J73" s="1">
        <f t="shared" si="7"/>
        <v>825.00428571428563</v>
      </c>
    </row>
    <row r="74" spans="2:10">
      <c r="B74" t="s">
        <v>48</v>
      </c>
      <c r="C74">
        <v>3603</v>
      </c>
      <c r="D74">
        <v>545</v>
      </c>
      <c r="F74">
        <f t="shared" si="4"/>
        <v>519.04999999999995</v>
      </c>
      <c r="H74">
        <f t="shared" si="5"/>
        <v>519.04761904761904</v>
      </c>
      <c r="I74">
        <f t="shared" si="6"/>
        <v>25.950000000000045</v>
      </c>
      <c r="J74" s="1">
        <f t="shared" si="7"/>
        <v>544.99761904761908</v>
      </c>
    </row>
    <row r="75" spans="2:10">
      <c r="B75" t="s">
        <v>62</v>
      </c>
      <c r="C75">
        <v>3606</v>
      </c>
      <c r="D75">
        <v>295</v>
      </c>
      <c r="F75">
        <f t="shared" si="4"/>
        <v>280.95</v>
      </c>
      <c r="H75">
        <f t="shared" si="5"/>
        <v>280.95238095238096</v>
      </c>
      <c r="I75">
        <f t="shared" si="6"/>
        <v>14.050000000000011</v>
      </c>
      <c r="J75" s="1">
        <f t="shared" si="7"/>
        <v>295.00238095238097</v>
      </c>
    </row>
    <row r="76" spans="2:10">
      <c r="B76" t="s">
        <v>40</v>
      </c>
      <c r="C76">
        <v>3336</v>
      </c>
      <c r="D76">
        <v>825</v>
      </c>
      <c r="F76">
        <f t="shared" si="4"/>
        <v>785.71</v>
      </c>
      <c r="H76">
        <f t="shared" si="5"/>
        <v>785.71428571428567</v>
      </c>
      <c r="I76">
        <f t="shared" si="6"/>
        <v>39.289999999999964</v>
      </c>
      <c r="J76" s="1">
        <f t="shared" si="7"/>
        <v>825.00428571428563</v>
      </c>
    </row>
    <row r="77" spans="2:10">
      <c r="B77" t="s">
        <v>48</v>
      </c>
      <c r="C77">
        <v>3600</v>
      </c>
      <c r="D77">
        <v>545</v>
      </c>
      <c r="F77">
        <f t="shared" si="4"/>
        <v>519.04999999999995</v>
      </c>
      <c r="H77">
        <f t="shared" si="5"/>
        <v>519.04761904761904</v>
      </c>
      <c r="I77">
        <f t="shared" si="6"/>
        <v>25.950000000000045</v>
      </c>
      <c r="J77" s="1">
        <f t="shared" si="7"/>
        <v>544.99761904761908</v>
      </c>
    </row>
    <row r="78" spans="2:10">
      <c r="B78" t="s">
        <v>40</v>
      </c>
      <c r="C78">
        <v>3336</v>
      </c>
      <c r="D78">
        <v>825</v>
      </c>
      <c r="F78">
        <f t="shared" si="4"/>
        <v>785.71</v>
      </c>
      <c r="H78">
        <f t="shared" si="5"/>
        <v>785.71428571428567</v>
      </c>
      <c r="I78">
        <f t="shared" si="6"/>
        <v>39.289999999999964</v>
      </c>
      <c r="J78" s="1">
        <f t="shared" si="7"/>
        <v>825.00428571428563</v>
      </c>
    </row>
    <row r="79" spans="2:10">
      <c r="B79" t="s">
        <v>48</v>
      </c>
      <c r="C79">
        <v>3600</v>
      </c>
      <c r="D79">
        <v>545</v>
      </c>
      <c r="F79">
        <f t="shared" si="4"/>
        <v>519.04999999999995</v>
      </c>
      <c r="H79">
        <f t="shared" si="5"/>
        <v>519.04761904761904</v>
      </c>
      <c r="I79">
        <f t="shared" si="6"/>
        <v>25.950000000000045</v>
      </c>
      <c r="J79" s="1">
        <f t="shared" si="7"/>
        <v>544.99761904761908</v>
      </c>
    </row>
    <row r="80" spans="2:10">
      <c r="B80" t="s">
        <v>48</v>
      </c>
      <c r="C80">
        <v>3603</v>
      </c>
      <c r="D80">
        <v>545</v>
      </c>
      <c r="F80">
        <f t="shared" si="4"/>
        <v>519.04999999999995</v>
      </c>
      <c r="H80">
        <f t="shared" si="5"/>
        <v>519.04761904761904</v>
      </c>
      <c r="I80">
        <f t="shared" si="6"/>
        <v>25.950000000000045</v>
      </c>
      <c r="J80" s="1">
        <f t="shared" si="7"/>
        <v>544.99761904761908</v>
      </c>
    </row>
    <row r="81" spans="2:10">
      <c r="B81" t="s">
        <v>48</v>
      </c>
      <c r="C81">
        <v>3599</v>
      </c>
      <c r="D81">
        <v>545</v>
      </c>
      <c r="F81">
        <f t="shared" si="4"/>
        <v>519.04999999999995</v>
      </c>
      <c r="H81">
        <f t="shared" si="5"/>
        <v>519.04761904761904</v>
      </c>
      <c r="I81">
        <f t="shared" si="6"/>
        <v>25.950000000000045</v>
      </c>
      <c r="J81" s="1">
        <f t="shared" si="7"/>
        <v>544.99761904761908</v>
      </c>
    </row>
    <row r="82" spans="2:10">
      <c r="B82" t="s">
        <v>40</v>
      </c>
      <c r="C82">
        <v>3335</v>
      </c>
      <c r="D82">
        <v>995</v>
      </c>
      <c r="F82">
        <f t="shared" si="4"/>
        <v>947.62</v>
      </c>
      <c r="H82">
        <f t="shared" si="5"/>
        <v>947.61904761904759</v>
      </c>
      <c r="I82">
        <f t="shared" si="6"/>
        <v>47.379999999999995</v>
      </c>
      <c r="J82" s="1">
        <f t="shared" si="7"/>
        <v>994.99904761904759</v>
      </c>
    </row>
    <row r="83" spans="2:10">
      <c r="B83" t="s">
        <v>40</v>
      </c>
      <c r="C83">
        <v>3600</v>
      </c>
      <c r="D83">
        <v>545</v>
      </c>
      <c r="F83">
        <f t="shared" si="4"/>
        <v>519.04999999999995</v>
      </c>
      <c r="H83">
        <f t="shared" si="5"/>
        <v>519.04761904761904</v>
      </c>
      <c r="I83">
        <f t="shared" si="6"/>
        <v>25.950000000000045</v>
      </c>
      <c r="J83" s="1">
        <f t="shared" si="7"/>
        <v>544.99761904761908</v>
      </c>
    </row>
    <row r="84" spans="2:10">
      <c r="B84" t="s">
        <v>40</v>
      </c>
      <c r="C84">
        <v>3604</v>
      </c>
      <c r="D84">
        <v>485</v>
      </c>
      <c r="F84">
        <f t="shared" si="4"/>
        <v>461.9</v>
      </c>
      <c r="H84">
        <f t="shared" si="5"/>
        <v>461.90476190476187</v>
      </c>
      <c r="I84">
        <f t="shared" si="6"/>
        <v>23.100000000000023</v>
      </c>
      <c r="J84" s="1">
        <f t="shared" si="7"/>
        <v>485.00476190476189</v>
      </c>
    </row>
    <row r="85" spans="2:10">
      <c r="B85" t="s">
        <v>40</v>
      </c>
      <c r="C85">
        <v>3604</v>
      </c>
      <c r="D85">
        <v>485</v>
      </c>
      <c r="F85">
        <f t="shared" si="4"/>
        <v>461.9</v>
      </c>
      <c r="H85">
        <f t="shared" si="5"/>
        <v>461.90476190476187</v>
      </c>
      <c r="I85">
        <f t="shared" si="6"/>
        <v>23.100000000000023</v>
      </c>
      <c r="J85" s="1">
        <f t="shared" si="7"/>
        <v>485.00476190476189</v>
      </c>
    </row>
    <row r="86" spans="2:10">
      <c r="B86" t="s">
        <v>40</v>
      </c>
      <c r="C86">
        <v>3336</v>
      </c>
      <c r="D86">
        <v>825</v>
      </c>
      <c r="F86">
        <f t="shared" si="4"/>
        <v>785.71</v>
      </c>
      <c r="H86">
        <f t="shared" si="5"/>
        <v>785.71428571428567</v>
      </c>
      <c r="I86">
        <f t="shared" si="6"/>
        <v>39.289999999999964</v>
      </c>
      <c r="J86" s="1">
        <f t="shared" si="7"/>
        <v>825.00428571428563</v>
      </c>
    </row>
    <row r="87" spans="2:10">
      <c r="B87" t="s">
        <v>40</v>
      </c>
      <c r="C87">
        <v>3335</v>
      </c>
      <c r="D87">
        <v>995</v>
      </c>
      <c r="F87">
        <f t="shared" si="4"/>
        <v>947.62</v>
      </c>
      <c r="H87">
        <f t="shared" si="5"/>
        <v>947.61904761904759</v>
      </c>
      <c r="I87">
        <f t="shared" si="6"/>
        <v>47.379999999999995</v>
      </c>
      <c r="J87" s="1">
        <f t="shared" si="7"/>
        <v>994.99904761904759</v>
      </c>
    </row>
    <row r="88" spans="2:10">
      <c r="B88" t="s">
        <v>40</v>
      </c>
      <c r="C88">
        <v>3336</v>
      </c>
      <c r="D88">
        <v>825</v>
      </c>
      <c r="F88">
        <f t="shared" si="4"/>
        <v>785.71</v>
      </c>
      <c r="H88">
        <f t="shared" si="5"/>
        <v>785.71428571428567</v>
      </c>
      <c r="I88">
        <f t="shared" si="6"/>
        <v>39.289999999999964</v>
      </c>
      <c r="J88" s="1">
        <f t="shared" si="7"/>
        <v>825.00428571428563</v>
      </c>
    </row>
    <row r="89" spans="2:10">
      <c r="B89" t="s">
        <v>63</v>
      </c>
      <c r="C89">
        <v>3608</v>
      </c>
      <c r="D89">
        <v>685</v>
      </c>
      <c r="F89">
        <f t="shared" si="4"/>
        <v>652.38</v>
      </c>
      <c r="H89">
        <f t="shared" si="5"/>
        <v>652.38095238095241</v>
      </c>
      <c r="I89">
        <f t="shared" si="6"/>
        <v>32.620000000000005</v>
      </c>
      <c r="J89" s="1">
        <f t="shared" si="7"/>
        <v>685.00095238095241</v>
      </c>
    </row>
    <row r="90" spans="2:10">
      <c r="B90" t="s">
        <v>48</v>
      </c>
      <c r="C90">
        <v>3603</v>
      </c>
      <c r="D90">
        <v>545</v>
      </c>
      <c r="F90">
        <f t="shared" si="4"/>
        <v>519.04999999999995</v>
      </c>
      <c r="H90">
        <f t="shared" si="5"/>
        <v>519.04761904761904</v>
      </c>
      <c r="I90">
        <f t="shared" si="6"/>
        <v>25.950000000000045</v>
      </c>
      <c r="J90" s="1">
        <f t="shared" si="7"/>
        <v>544.99761904761908</v>
      </c>
    </row>
    <row r="91" spans="2:10">
      <c r="B91" t="s">
        <v>49</v>
      </c>
      <c r="C91">
        <v>3610</v>
      </c>
      <c r="D91">
        <v>535</v>
      </c>
      <c r="F91">
        <f t="shared" si="4"/>
        <v>509.52</v>
      </c>
      <c r="H91">
        <f t="shared" si="5"/>
        <v>509.52380952380952</v>
      </c>
      <c r="I91">
        <f t="shared" si="6"/>
        <v>25.480000000000018</v>
      </c>
      <c r="J91" s="1">
        <f t="shared" si="7"/>
        <v>535.00380952380954</v>
      </c>
    </row>
    <row r="92" spans="2:10">
      <c r="B92" t="s">
        <v>49</v>
      </c>
      <c r="C92">
        <v>3609</v>
      </c>
      <c r="D92">
        <v>845</v>
      </c>
      <c r="E92">
        <v>2</v>
      </c>
      <c r="F92">
        <f t="shared" si="4"/>
        <v>804.76</v>
      </c>
      <c r="H92">
        <f t="shared" si="5"/>
        <v>804.7619047619047</v>
      </c>
      <c r="I92">
        <f t="shared" si="6"/>
        <v>40.240000000000009</v>
      </c>
      <c r="J92" s="1">
        <f t="shared" si="7"/>
        <v>845.00190476190471</v>
      </c>
    </row>
    <row r="93" spans="2:10">
      <c r="B93" t="s">
        <v>49</v>
      </c>
      <c r="C93">
        <v>3608</v>
      </c>
      <c r="D93">
        <v>685</v>
      </c>
      <c r="F93">
        <f t="shared" si="4"/>
        <v>652.38</v>
      </c>
      <c r="H93">
        <f t="shared" si="5"/>
        <v>652.38095238095241</v>
      </c>
      <c r="I93">
        <f t="shared" si="6"/>
        <v>32.620000000000005</v>
      </c>
      <c r="J93" s="1">
        <f t="shared" si="7"/>
        <v>685.00095238095241</v>
      </c>
    </row>
    <row r="94" spans="2:10">
      <c r="B94" t="s">
        <v>64</v>
      </c>
      <c r="C94">
        <v>3609</v>
      </c>
      <c r="D94">
        <v>845</v>
      </c>
      <c r="F94">
        <f t="shared" si="4"/>
        <v>804.76</v>
      </c>
      <c r="H94">
        <f t="shared" si="5"/>
        <v>804.7619047619047</v>
      </c>
      <c r="I94">
        <f t="shared" si="6"/>
        <v>40.240000000000009</v>
      </c>
      <c r="J94" s="1">
        <f t="shared" si="7"/>
        <v>845.00190476190471</v>
      </c>
    </row>
    <row r="95" spans="2:10">
      <c r="B95" t="s">
        <v>57</v>
      </c>
      <c r="C95">
        <v>3612</v>
      </c>
      <c r="D95">
        <v>575</v>
      </c>
      <c r="F95">
        <f t="shared" si="4"/>
        <v>547.62</v>
      </c>
      <c r="H95">
        <f t="shared" si="5"/>
        <v>547.61904761904759</v>
      </c>
      <c r="I95">
        <f t="shared" si="6"/>
        <v>27.379999999999995</v>
      </c>
      <c r="J95" s="1">
        <f t="shared" si="7"/>
        <v>574.99904761904759</v>
      </c>
    </row>
    <row r="96" spans="2:10">
      <c r="B96" t="s">
        <v>65</v>
      </c>
      <c r="C96">
        <v>3614</v>
      </c>
      <c r="D96">
        <v>335</v>
      </c>
      <c r="F96">
        <f t="shared" si="4"/>
        <v>319.05</v>
      </c>
      <c r="H96">
        <f t="shared" si="5"/>
        <v>319.04761904761904</v>
      </c>
      <c r="I96">
        <f t="shared" si="6"/>
        <v>15.949999999999989</v>
      </c>
      <c r="J96" s="1">
        <f t="shared" si="7"/>
        <v>334.99761904761903</v>
      </c>
    </row>
    <row r="97" spans="2:10">
      <c r="B97" t="s">
        <v>57</v>
      </c>
      <c r="C97">
        <v>3612</v>
      </c>
      <c r="D97">
        <v>575</v>
      </c>
      <c r="F97">
        <f t="shared" si="4"/>
        <v>547.62</v>
      </c>
      <c r="H97">
        <f t="shared" si="5"/>
        <v>547.61904761904759</v>
      </c>
      <c r="I97">
        <f t="shared" si="6"/>
        <v>27.379999999999995</v>
      </c>
      <c r="J97" s="1">
        <f t="shared" si="7"/>
        <v>574.99904761904759</v>
      </c>
    </row>
    <row r="98" spans="2:10">
      <c r="B98" t="s">
        <v>57</v>
      </c>
      <c r="C98">
        <v>3613</v>
      </c>
      <c r="D98">
        <v>425</v>
      </c>
      <c r="E98">
        <v>2</v>
      </c>
      <c r="F98">
        <f t="shared" si="4"/>
        <v>404.76</v>
      </c>
      <c r="H98">
        <f t="shared" si="5"/>
        <v>404.76190476190476</v>
      </c>
      <c r="I98">
        <f t="shared" si="6"/>
        <v>20.240000000000009</v>
      </c>
      <c r="J98" s="1">
        <f t="shared" si="7"/>
        <v>425.00190476190477</v>
      </c>
    </row>
    <row r="99" spans="2:10">
      <c r="B99" t="s">
        <v>57</v>
      </c>
      <c r="C99">
        <v>3612</v>
      </c>
      <c r="D99">
        <v>575</v>
      </c>
      <c r="F99">
        <f t="shared" si="4"/>
        <v>547.62</v>
      </c>
      <c r="H99">
        <f t="shared" si="5"/>
        <v>547.61904761904759</v>
      </c>
      <c r="I99">
        <f t="shared" si="6"/>
        <v>27.379999999999995</v>
      </c>
      <c r="J99" s="1">
        <f t="shared" si="7"/>
        <v>574.99904761904759</v>
      </c>
    </row>
    <row r="100" spans="2:10">
      <c r="B100" t="s">
        <v>65</v>
      </c>
      <c r="C100">
        <v>3614</v>
      </c>
      <c r="D100">
        <v>335</v>
      </c>
      <c r="F100">
        <f t="shared" si="4"/>
        <v>319.05</v>
      </c>
      <c r="H100">
        <f t="shared" si="5"/>
        <v>319.04761904761904</v>
      </c>
      <c r="I100">
        <f t="shared" si="6"/>
        <v>15.949999999999989</v>
      </c>
      <c r="J100" s="1">
        <f t="shared" si="7"/>
        <v>334.99761904761903</v>
      </c>
    </row>
    <row r="101" spans="2:10">
      <c r="B101" t="s">
        <v>57</v>
      </c>
      <c r="C101">
        <v>3612</v>
      </c>
      <c r="D101">
        <v>575</v>
      </c>
      <c r="E101">
        <v>5</v>
      </c>
      <c r="F101">
        <f t="shared" si="4"/>
        <v>547.62</v>
      </c>
      <c r="H101">
        <f t="shared" si="5"/>
        <v>547.61904761904759</v>
      </c>
      <c r="I101">
        <f t="shared" si="6"/>
        <v>27.379999999999995</v>
      </c>
      <c r="J101" s="1">
        <f t="shared" si="7"/>
        <v>574.99904761904759</v>
      </c>
    </row>
    <row r="102" spans="2:10">
      <c r="B102" t="s">
        <v>40</v>
      </c>
      <c r="C102">
        <v>3336</v>
      </c>
      <c r="D102">
        <v>825</v>
      </c>
      <c r="F102">
        <f t="shared" si="4"/>
        <v>785.71</v>
      </c>
      <c r="H102">
        <f t="shared" si="5"/>
        <v>785.71428571428567</v>
      </c>
      <c r="I102">
        <f t="shared" si="6"/>
        <v>39.289999999999964</v>
      </c>
      <c r="J102" s="1">
        <f t="shared" si="7"/>
        <v>825.00428571428563</v>
      </c>
    </row>
    <row r="103" spans="2:10">
      <c r="B103" t="s">
        <v>48</v>
      </c>
      <c r="C103">
        <v>3600</v>
      </c>
      <c r="D103">
        <v>545</v>
      </c>
      <c r="E103">
        <v>2</v>
      </c>
      <c r="F103">
        <f t="shared" si="4"/>
        <v>519.04999999999995</v>
      </c>
      <c r="H103">
        <f t="shared" si="5"/>
        <v>519.04761904761904</v>
      </c>
      <c r="I103">
        <f t="shared" si="6"/>
        <v>25.950000000000045</v>
      </c>
      <c r="J103" s="1">
        <f t="shared" si="7"/>
        <v>544.99761904761908</v>
      </c>
    </row>
    <row r="104" spans="2:10">
      <c r="B104" t="s">
        <v>65</v>
      </c>
      <c r="C104">
        <v>3614</v>
      </c>
      <c r="D104">
        <v>335</v>
      </c>
      <c r="F104">
        <f t="shared" si="4"/>
        <v>319.05</v>
      </c>
      <c r="H104">
        <f t="shared" si="5"/>
        <v>319.04761904761904</v>
      </c>
      <c r="I104">
        <f t="shared" si="6"/>
        <v>15.949999999999989</v>
      </c>
      <c r="J104" s="1">
        <f t="shared" si="7"/>
        <v>334.99761904761903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0"/>
  <sheetViews>
    <sheetView workbookViewId="0">
      <selection activeCell="H1" sqref="H1:J1"/>
    </sheetView>
  </sheetViews>
  <sheetFormatPr defaultRowHeight="15"/>
  <cols>
    <col min="1" max="1" width="6.85546875" customWidth="1"/>
    <col min="2" max="2" width="19.28515625" customWidth="1"/>
    <col min="6" max="6" width="2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82</v>
      </c>
      <c r="H1" t="s">
        <v>83</v>
      </c>
      <c r="I1" t="s">
        <v>84</v>
      </c>
      <c r="J1" t="s">
        <v>85</v>
      </c>
    </row>
    <row r="2" spans="1:10">
      <c r="B2" t="s">
        <v>35</v>
      </c>
      <c r="C2">
        <v>3600</v>
      </c>
      <c r="D2">
        <v>545</v>
      </c>
      <c r="F2">
        <f>ROUND(IF(D2&gt;2500, D2/1.18, D2/1.05),2)</f>
        <v>519.04999999999995</v>
      </c>
      <c r="H2">
        <f>D2/1.05</f>
        <v>519.04761904761904</v>
      </c>
      <c r="I2">
        <f>D2-H2</f>
        <v>25.952380952380963</v>
      </c>
      <c r="J2">
        <f>SUM(H2:I2)</f>
        <v>545</v>
      </c>
    </row>
    <row r="3" spans="1:10">
      <c r="B3" t="s">
        <v>35</v>
      </c>
      <c r="C3">
        <v>3599</v>
      </c>
      <c r="D3">
        <v>545</v>
      </c>
      <c r="F3">
        <f t="shared" ref="F3:F66" si="0">ROUND(IF(D3&gt;2500, D3/1.18, D3/1.05),2)</f>
        <v>519.04999999999995</v>
      </c>
      <c r="H3">
        <f t="shared" ref="H3:H66" si="1">D3/1.05</f>
        <v>519.04761904761904</v>
      </c>
      <c r="I3">
        <f t="shared" ref="I3:I66" si="2">D3-H3</f>
        <v>25.952380952380963</v>
      </c>
      <c r="J3">
        <f t="shared" ref="J3:J66" si="3">SUM(H3:I3)</f>
        <v>545</v>
      </c>
    </row>
    <row r="4" spans="1:10">
      <c r="B4" t="s">
        <v>35</v>
      </c>
      <c r="C4">
        <v>3600</v>
      </c>
      <c r="D4">
        <v>545</v>
      </c>
      <c r="F4">
        <f t="shared" si="0"/>
        <v>519.04999999999995</v>
      </c>
      <c r="H4">
        <f t="shared" si="1"/>
        <v>519.04761904761904</v>
      </c>
      <c r="I4">
        <f t="shared" si="2"/>
        <v>25.952380952380963</v>
      </c>
      <c r="J4">
        <f t="shared" si="3"/>
        <v>545</v>
      </c>
    </row>
    <row r="5" spans="1:10">
      <c r="B5" t="s">
        <v>35</v>
      </c>
      <c r="C5">
        <v>3599</v>
      </c>
      <c r="D5">
        <v>545</v>
      </c>
      <c r="F5">
        <f t="shared" si="0"/>
        <v>519.04999999999995</v>
      </c>
      <c r="H5">
        <f t="shared" si="1"/>
        <v>519.04761904761904</v>
      </c>
      <c r="I5">
        <f t="shared" si="2"/>
        <v>25.952380952380963</v>
      </c>
      <c r="J5">
        <f t="shared" si="3"/>
        <v>545</v>
      </c>
    </row>
    <row r="6" spans="1:10">
      <c r="B6" t="s">
        <v>35</v>
      </c>
      <c r="C6">
        <v>3601</v>
      </c>
      <c r="D6">
        <v>545</v>
      </c>
      <c r="F6">
        <f t="shared" si="0"/>
        <v>519.04999999999995</v>
      </c>
      <c r="H6">
        <f t="shared" si="1"/>
        <v>519.04761904761904</v>
      </c>
      <c r="I6">
        <f t="shared" si="2"/>
        <v>25.952380952380963</v>
      </c>
      <c r="J6">
        <f t="shared" si="3"/>
        <v>545</v>
      </c>
    </row>
    <row r="7" spans="1:10">
      <c r="B7" t="s">
        <v>61</v>
      </c>
      <c r="C7">
        <v>3613</v>
      </c>
      <c r="D7">
        <v>425</v>
      </c>
      <c r="F7">
        <f t="shared" si="0"/>
        <v>404.76</v>
      </c>
      <c r="H7">
        <f t="shared" si="1"/>
        <v>404.76190476190476</v>
      </c>
      <c r="I7">
        <f t="shared" si="2"/>
        <v>20.238095238095241</v>
      </c>
      <c r="J7">
        <f t="shared" si="3"/>
        <v>425</v>
      </c>
    </row>
    <row r="8" spans="1:10">
      <c r="B8" t="s">
        <v>35</v>
      </c>
      <c r="C8">
        <v>3600</v>
      </c>
      <c r="D8">
        <v>545</v>
      </c>
      <c r="F8">
        <f t="shared" si="0"/>
        <v>519.04999999999995</v>
      </c>
      <c r="H8">
        <f t="shared" si="1"/>
        <v>519.04761904761904</v>
      </c>
      <c r="I8">
        <f t="shared" si="2"/>
        <v>25.952380952380963</v>
      </c>
      <c r="J8">
        <f t="shared" si="3"/>
        <v>545</v>
      </c>
    </row>
    <row r="9" spans="1:10">
      <c r="B9" t="s">
        <v>35</v>
      </c>
      <c r="C9">
        <v>3603</v>
      </c>
      <c r="D9">
        <v>545</v>
      </c>
      <c r="F9">
        <f t="shared" si="0"/>
        <v>519.04999999999995</v>
      </c>
      <c r="H9">
        <f t="shared" si="1"/>
        <v>519.04761904761904</v>
      </c>
      <c r="I9">
        <f t="shared" si="2"/>
        <v>25.952380952380963</v>
      </c>
      <c r="J9">
        <f t="shared" si="3"/>
        <v>545</v>
      </c>
    </row>
    <row r="10" spans="1:10">
      <c r="B10" t="s">
        <v>35</v>
      </c>
      <c r="C10">
        <v>3601</v>
      </c>
      <c r="D10">
        <v>545</v>
      </c>
      <c r="F10">
        <f t="shared" si="0"/>
        <v>519.04999999999995</v>
      </c>
      <c r="H10">
        <f t="shared" si="1"/>
        <v>519.04761904761904</v>
      </c>
      <c r="I10">
        <f t="shared" si="2"/>
        <v>25.952380952380963</v>
      </c>
      <c r="J10">
        <f t="shared" si="3"/>
        <v>545</v>
      </c>
    </row>
    <row r="11" spans="1:10">
      <c r="B11" t="s">
        <v>35</v>
      </c>
      <c r="C11">
        <v>3603</v>
      </c>
      <c r="D11">
        <v>545</v>
      </c>
      <c r="F11">
        <f t="shared" si="0"/>
        <v>519.04999999999995</v>
      </c>
      <c r="H11">
        <f t="shared" si="1"/>
        <v>519.04761904761904</v>
      </c>
      <c r="I11">
        <f t="shared" si="2"/>
        <v>25.952380952380963</v>
      </c>
      <c r="J11">
        <f t="shared" si="3"/>
        <v>545</v>
      </c>
    </row>
    <row r="12" spans="1:10">
      <c r="B12" t="s">
        <v>35</v>
      </c>
      <c r="C12">
        <v>3600</v>
      </c>
      <c r="D12">
        <v>545</v>
      </c>
      <c r="F12">
        <f t="shared" si="0"/>
        <v>519.04999999999995</v>
      </c>
      <c r="H12">
        <f t="shared" si="1"/>
        <v>519.04761904761904</v>
      </c>
      <c r="I12">
        <f t="shared" si="2"/>
        <v>25.952380952380963</v>
      </c>
      <c r="J12">
        <f t="shared" si="3"/>
        <v>545</v>
      </c>
    </row>
    <row r="13" spans="1:10">
      <c r="B13" t="s">
        <v>61</v>
      </c>
      <c r="C13">
        <v>3613</v>
      </c>
      <c r="D13">
        <v>425</v>
      </c>
      <c r="F13">
        <f t="shared" si="0"/>
        <v>404.76</v>
      </c>
      <c r="H13">
        <f t="shared" si="1"/>
        <v>404.76190476190476</v>
      </c>
      <c r="I13">
        <f t="shared" si="2"/>
        <v>20.238095238095241</v>
      </c>
      <c r="J13">
        <f t="shared" si="3"/>
        <v>425</v>
      </c>
    </row>
    <row r="14" spans="1:10">
      <c r="B14" t="s">
        <v>61</v>
      </c>
      <c r="C14">
        <v>3612</v>
      </c>
      <c r="D14">
        <v>575</v>
      </c>
      <c r="F14">
        <f t="shared" si="0"/>
        <v>547.62</v>
      </c>
      <c r="H14">
        <f t="shared" si="1"/>
        <v>547.61904761904759</v>
      </c>
      <c r="I14">
        <f t="shared" si="2"/>
        <v>27.380952380952408</v>
      </c>
      <c r="J14">
        <f t="shared" si="3"/>
        <v>575</v>
      </c>
    </row>
    <row r="15" spans="1:10">
      <c r="B15" t="s">
        <v>35</v>
      </c>
      <c r="C15">
        <v>3601</v>
      </c>
      <c r="D15">
        <v>545</v>
      </c>
      <c r="F15">
        <f t="shared" si="0"/>
        <v>519.04999999999995</v>
      </c>
      <c r="H15">
        <f t="shared" si="1"/>
        <v>519.04761904761904</v>
      </c>
      <c r="I15">
        <f t="shared" si="2"/>
        <v>25.952380952380963</v>
      </c>
      <c r="J15">
        <f t="shared" si="3"/>
        <v>545</v>
      </c>
    </row>
    <row r="16" spans="1:10">
      <c r="B16" t="s">
        <v>66</v>
      </c>
      <c r="C16">
        <v>5649</v>
      </c>
      <c r="D16">
        <v>645</v>
      </c>
      <c r="E16">
        <v>9</v>
      </c>
      <c r="F16">
        <f t="shared" si="0"/>
        <v>614.29</v>
      </c>
      <c r="H16">
        <f t="shared" si="1"/>
        <v>614.28571428571422</v>
      </c>
      <c r="I16">
        <f t="shared" si="2"/>
        <v>30.714285714285779</v>
      </c>
      <c r="J16">
        <f t="shared" si="3"/>
        <v>645</v>
      </c>
    </row>
    <row r="17" spans="2:10">
      <c r="B17" t="s">
        <v>66</v>
      </c>
      <c r="C17">
        <v>5648</v>
      </c>
      <c r="D17">
        <v>645</v>
      </c>
      <c r="E17">
        <v>6</v>
      </c>
      <c r="F17">
        <f t="shared" si="0"/>
        <v>614.29</v>
      </c>
      <c r="H17">
        <f t="shared" si="1"/>
        <v>614.28571428571422</v>
      </c>
      <c r="I17">
        <f t="shared" si="2"/>
        <v>30.714285714285779</v>
      </c>
      <c r="J17">
        <f t="shared" si="3"/>
        <v>645</v>
      </c>
    </row>
    <row r="18" spans="2:10">
      <c r="B18" t="s">
        <v>66</v>
      </c>
      <c r="C18">
        <v>5647</v>
      </c>
      <c r="D18">
        <v>265</v>
      </c>
      <c r="E18">
        <v>5</v>
      </c>
      <c r="F18">
        <f t="shared" si="0"/>
        <v>252.38</v>
      </c>
      <c r="H18">
        <f t="shared" si="1"/>
        <v>252.38095238095238</v>
      </c>
      <c r="I18">
        <f t="shared" si="2"/>
        <v>12.61904761904762</v>
      </c>
      <c r="J18">
        <f t="shared" si="3"/>
        <v>265</v>
      </c>
    </row>
    <row r="19" spans="2:10">
      <c r="B19" t="s">
        <v>66</v>
      </c>
      <c r="C19">
        <v>5637</v>
      </c>
      <c r="D19">
        <v>295</v>
      </c>
      <c r="E19">
        <v>4</v>
      </c>
      <c r="F19">
        <f t="shared" si="0"/>
        <v>280.95</v>
      </c>
      <c r="H19">
        <f t="shared" si="1"/>
        <v>280.95238095238096</v>
      </c>
      <c r="I19">
        <f t="shared" si="2"/>
        <v>14.047619047619037</v>
      </c>
      <c r="J19">
        <f t="shared" si="3"/>
        <v>295</v>
      </c>
    </row>
    <row r="20" spans="2:10">
      <c r="B20" t="s">
        <v>67</v>
      </c>
      <c r="C20">
        <v>4221</v>
      </c>
      <c r="D20">
        <v>675</v>
      </c>
      <c r="F20">
        <f t="shared" si="0"/>
        <v>642.86</v>
      </c>
      <c r="H20">
        <f t="shared" si="1"/>
        <v>642.85714285714278</v>
      </c>
      <c r="I20">
        <f t="shared" si="2"/>
        <v>32.142857142857224</v>
      </c>
      <c r="J20">
        <f t="shared" si="3"/>
        <v>675</v>
      </c>
    </row>
    <row r="21" spans="2:10">
      <c r="B21" t="s">
        <v>68</v>
      </c>
      <c r="C21">
        <v>4220</v>
      </c>
      <c r="D21">
        <v>425</v>
      </c>
      <c r="F21">
        <f t="shared" si="0"/>
        <v>404.76</v>
      </c>
      <c r="H21">
        <f t="shared" si="1"/>
        <v>404.76190476190476</v>
      </c>
      <c r="I21">
        <f t="shared" si="2"/>
        <v>20.238095238095241</v>
      </c>
      <c r="J21">
        <f t="shared" si="3"/>
        <v>425</v>
      </c>
    </row>
    <row r="22" spans="2:10">
      <c r="B22" t="s">
        <v>66</v>
      </c>
      <c r="C22">
        <v>5638</v>
      </c>
      <c r="D22">
        <v>295</v>
      </c>
      <c r="F22">
        <f t="shared" si="0"/>
        <v>280.95</v>
      </c>
      <c r="H22">
        <f t="shared" si="1"/>
        <v>280.95238095238096</v>
      </c>
      <c r="I22">
        <f t="shared" si="2"/>
        <v>14.047619047619037</v>
      </c>
      <c r="J22">
        <f t="shared" si="3"/>
        <v>295</v>
      </c>
    </row>
    <row r="23" spans="2:10">
      <c r="B23" t="s">
        <v>66</v>
      </c>
      <c r="C23">
        <v>5648</v>
      </c>
      <c r="D23">
        <v>645</v>
      </c>
      <c r="F23">
        <f t="shared" si="0"/>
        <v>614.29</v>
      </c>
      <c r="H23">
        <f t="shared" si="1"/>
        <v>614.28571428571422</v>
      </c>
      <c r="I23">
        <f t="shared" si="2"/>
        <v>30.714285714285779</v>
      </c>
      <c r="J23">
        <f t="shared" si="3"/>
        <v>645</v>
      </c>
    </row>
    <row r="24" spans="2:10">
      <c r="B24" t="s">
        <v>66</v>
      </c>
      <c r="C24">
        <v>5648</v>
      </c>
      <c r="D24">
        <v>645</v>
      </c>
      <c r="E24">
        <v>2</v>
      </c>
      <c r="F24">
        <f t="shared" si="0"/>
        <v>614.29</v>
      </c>
      <c r="H24">
        <f t="shared" si="1"/>
        <v>614.28571428571422</v>
      </c>
      <c r="I24">
        <f t="shared" si="2"/>
        <v>30.714285714285779</v>
      </c>
      <c r="J24">
        <f t="shared" si="3"/>
        <v>645</v>
      </c>
    </row>
    <row r="25" spans="2:10">
      <c r="B25" t="s">
        <v>66</v>
      </c>
      <c r="C25">
        <v>5637</v>
      </c>
      <c r="D25">
        <v>295</v>
      </c>
      <c r="F25">
        <f t="shared" si="0"/>
        <v>280.95</v>
      </c>
      <c r="H25">
        <f t="shared" si="1"/>
        <v>280.95238095238096</v>
      </c>
      <c r="I25">
        <f t="shared" si="2"/>
        <v>14.047619047619037</v>
      </c>
      <c r="J25">
        <f t="shared" si="3"/>
        <v>295</v>
      </c>
    </row>
    <row r="26" spans="2:10">
      <c r="B26" t="s">
        <v>66</v>
      </c>
      <c r="C26">
        <v>5649</v>
      </c>
      <c r="D26">
        <v>645</v>
      </c>
      <c r="F26">
        <f t="shared" si="0"/>
        <v>614.29</v>
      </c>
      <c r="H26">
        <f t="shared" si="1"/>
        <v>614.28571428571422</v>
      </c>
      <c r="I26">
        <f t="shared" si="2"/>
        <v>30.714285714285779</v>
      </c>
      <c r="J26">
        <f t="shared" si="3"/>
        <v>645</v>
      </c>
    </row>
    <row r="27" spans="2:10">
      <c r="B27" t="s">
        <v>66</v>
      </c>
      <c r="C27">
        <v>5637</v>
      </c>
      <c r="D27">
        <v>295</v>
      </c>
      <c r="F27">
        <f t="shared" si="0"/>
        <v>280.95</v>
      </c>
      <c r="H27">
        <f t="shared" si="1"/>
        <v>280.95238095238096</v>
      </c>
      <c r="I27">
        <f t="shared" si="2"/>
        <v>14.047619047619037</v>
      </c>
      <c r="J27">
        <f t="shared" si="3"/>
        <v>295</v>
      </c>
    </row>
    <row r="28" spans="2:10">
      <c r="B28" t="s">
        <v>66</v>
      </c>
      <c r="C28">
        <v>5638</v>
      </c>
      <c r="D28">
        <v>295</v>
      </c>
      <c r="F28">
        <f t="shared" si="0"/>
        <v>280.95</v>
      </c>
      <c r="H28">
        <f t="shared" si="1"/>
        <v>280.95238095238096</v>
      </c>
      <c r="I28">
        <f t="shared" si="2"/>
        <v>14.047619047619037</v>
      </c>
      <c r="J28">
        <f t="shared" si="3"/>
        <v>295</v>
      </c>
    </row>
    <row r="29" spans="2:10">
      <c r="B29" t="s">
        <v>66</v>
      </c>
      <c r="C29">
        <v>5638</v>
      </c>
      <c r="D29">
        <v>295</v>
      </c>
      <c r="F29">
        <f t="shared" si="0"/>
        <v>280.95</v>
      </c>
      <c r="H29">
        <f t="shared" si="1"/>
        <v>280.95238095238096</v>
      </c>
      <c r="I29">
        <f t="shared" si="2"/>
        <v>14.047619047619037</v>
      </c>
      <c r="J29">
        <f t="shared" si="3"/>
        <v>295</v>
      </c>
    </row>
    <row r="30" spans="2:10">
      <c r="B30" t="s">
        <v>35</v>
      </c>
      <c r="C30">
        <v>4236</v>
      </c>
      <c r="D30">
        <v>365</v>
      </c>
      <c r="E30">
        <v>2</v>
      </c>
      <c r="F30">
        <f t="shared" si="0"/>
        <v>347.62</v>
      </c>
      <c r="H30">
        <f t="shared" si="1"/>
        <v>347.61904761904759</v>
      </c>
      <c r="I30">
        <f t="shared" si="2"/>
        <v>17.380952380952408</v>
      </c>
      <c r="J30">
        <f t="shared" si="3"/>
        <v>365</v>
      </c>
    </row>
    <row r="31" spans="2:10">
      <c r="B31" t="s">
        <v>68</v>
      </c>
      <c r="C31">
        <v>4220</v>
      </c>
      <c r="D31">
        <v>425</v>
      </c>
      <c r="F31">
        <f t="shared" si="0"/>
        <v>404.76</v>
      </c>
      <c r="H31">
        <f t="shared" si="1"/>
        <v>404.76190476190476</v>
      </c>
      <c r="I31">
        <f t="shared" si="2"/>
        <v>20.238095238095241</v>
      </c>
      <c r="J31">
        <f t="shared" si="3"/>
        <v>425</v>
      </c>
    </row>
    <row r="32" spans="2:10">
      <c r="B32" t="s">
        <v>67</v>
      </c>
      <c r="C32">
        <v>4226</v>
      </c>
      <c r="D32">
        <v>375</v>
      </c>
      <c r="F32">
        <f t="shared" si="0"/>
        <v>357.14</v>
      </c>
      <c r="H32">
        <f t="shared" si="1"/>
        <v>357.14285714285711</v>
      </c>
      <c r="I32">
        <f t="shared" si="2"/>
        <v>17.85714285714289</v>
      </c>
      <c r="J32">
        <f t="shared" si="3"/>
        <v>375</v>
      </c>
    </row>
    <row r="33" spans="2:10">
      <c r="B33" t="s">
        <v>69</v>
      </c>
      <c r="C33">
        <v>4234</v>
      </c>
      <c r="D33">
        <v>365</v>
      </c>
      <c r="F33">
        <f t="shared" si="0"/>
        <v>347.62</v>
      </c>
      <c r="H33">
        <f t="shared" si="1"/>
        <v>347.61904761904759</v>
      </c>
      <c r="I33">
        <f t="shared" si="2"/>
        <v>17.380952380952408</v>
      </c>
      <c r="J33">
        <f t="shared" si="3"/>
        <v>365</v>
      </c>
    </row>
    <row r="34" spans="2:10">
      <c r="B34" t="s">
        <v>35</v>
      </c>
      <c r="C34">
        <v>4232</v>
      </c>
      <c r="D34">
        <v>355</v>
      </c>
      <c r="F34">
        <f t="shared" si="0"/>
        <v>338.1</v>
      </c>
      <c r="H34">
        <f t="shared" si="1"/>
        <v>338.09523809523807</v>
      </c>
      <c r="I34">
        <f t="shared" si="2"/>
        <v>16.904761904761926</v>
      </c>
      <c r="J34">
        <f t="shared" si="3"/>
        <v>355</v>
      </c>
    </row>
    <row r="35" spans="2:10">
      <c r="B35" t="s">
        <v>35</v>
      </c>
      <c r="C35">
        <v>4236</v>
      </c>
      <c r="D35">
        <v>365</v>
      </c>
      <c r="F35">
        <f t="shared" si="0"/>
        <v>347.62</v>
      </c>
      <c r="H35">
        <f t="shared" si="1"/>
        <v>347.61904761904759</v>
      </c>
      <c r="I35">
        <f t="shared" si="2"/>
        <v>17.380952380952408</v>
      </c>
      <c r="J35">
        <f t="shared" si="3"/>
        <v>365</v>
      </c>
    </row>
    <row r="36" spans="2:10">
      <c r="B36" t="s">
        <v>15</v>
      </c>
      <c r="C36">
        <v>4227</v>
      </c>
      <c r="D36">
        <v>365</v>
      </c>
      <c r="F36">
        <f t="shared" si="0"/>
        <v>347.62</v>
      </c>
      <c r="H36">
        <f t="shared" si="1"/>
        <v>347.61904761904759</v>
      </c>
      <c r="I36">
        <f t="shared" si="2"/>
        <v>17.380952380952408</v>
      </c>
      <c r="J36">
        <f t="shared" si="3"/>
        <v>365</v>
      </c>
    </row>
    <row r="37" spans="2:10">
      <c r="B37" t="s">
        <v>68</v>
      </c>
      <c r="C37">
        <v>4219</v>
      </c>
      <c r="D37">
        <v>395</v>
      </c>
      <c r="F37">
        <f t="shared" si="0"/>
        <v>376.19</v>
      </c>
      <c r="H37">
        <f t="shared" si="1"/>
        <v>376.19047619047615</v>
      </c>
      <c r="I37">
        <f t="shared" si="2"/>
        <v>18.809523809523853</v>
      </c>
      <c r="J37">
        <f t="shared" si="3"/>
        <v>395</v>
      </c>
    </row>
    <row r="38" spans="2:10">
      <c r="B38" t="s">
        <v>33</v>
      </c>
      <c r="C38">
        <v>4237</v>
      </c>
      <c r="D38">
        <v>375</v>
      </c>
      <c r="F38">
        <f t="shared" si="0"/>
        <v>357.14</v>
      </c>
      <c r="H38">
        <f t="shared" si="1"/>
        <v>357.14285714285711</v>
      </c>
      <c r="I38">
        <f t="shared" si="2"/>
        <v>17.85714285714289</v>
      </c>
      <c r="J38">
        <f t="shared" si="3"/>
        <v>375</v>
      </c>
    </row>
    <row r="39" spans="2:10">
      <c r="B39" t="s">
        <v>33</v>
      </c>
      <c r="C39">
        <v>4232</v>
      </c>
      <c r="D39">
        <v>355</v>
      </c>
      <c r="F39">
        <f t="shared" si="0"/>
        <v>338.1</v>
      </c>
      <c r="H39">
        <f t="shared" si="1"/>
        <v>338.09523809523807</v>
      </c>
      <c r="I39">
        <f t="shared" si="2"/>
        <v>16.904761904761926</v>
      </c>
      <c r="J39">
        <f t="shared" si="3"/>
        <v>355</v>
      </c>
    </row>
    <row r="40" spans="2:10">
      <c r="B40" t="s">
        <v>70</v>
      </c>
      <c r="C40">
        <v>4229</v>
      </c>
      <c r="D40">
        <v>350</v>
      </c>
      <c r="F40">
        <f t="shared" si="0"/>
        <v>333.33</v>
      </c>
      <c r="H40">
        <f t="shared" si="1"/>
        <v>333.33333333333331</v>
      </c>
      <c r="I40">
        <f t="shared" si="2"/>
        <v>16.666666666666686</v>
      </c>
      <c r="J40">
        <f t="shared" si="3"/>
        <v>350</v>
      </c>
    </row>
    <row r="41" spans="2:10">
      <c r="B41" t="s">
        <v>33</v>
      </c>
      <c r="C41">
        <v>4232</v>
      </c>
      <c r="D41">
        <v>355</v>
      </c>
      <c r="F41">
        <f t="shared" si="0"/>
        <v>338.1</v>
      </c>
      <c r="H41">
        <f t="shared" si="1"/>
        <v>338.09523809523807</v>
      </c>
      <c r="I41">
        <f t="shared" si="2"/>
        <v>16.904761904761926</v>
      </c>
      <c r="J41">
        <f t="shared" si="3"/>
        <v>355</v>
      </c>
    </row>
    <row r="42" spans="2:10">
      <c r="B42" t="s">
        <v>35</v>
      </c>
      <c r="C42">
        <v>4236</v>
      </c>
      <c r="D42">
        <v>355</v>
      </c>
      <c r="F42">
        <f t="shared" si="0"/>
        <v>338.1</v>
      </c>
      <c r="H42">
        <f t="shared" si="1"/>
        <v>338.09523809523807</v>
      </c>
      <c r="I42">
        <f t="shared" si="2"/>
        <v>16.904761904761926</v>
      </c>
      <c r="J42">
        <f t="shared" si="3"/>
        <v>355</v>
      </c>
    </row>
    <row r="43" spans="2:10">
      <c r="B43" t="s">
        <v>71</v>
      </c>
      <c r="C43">
        <v>4221</v>
      </c>
      <c r="D43">
        <v>675</v>
      </c>
      <c r="F43">
        <f t="shared" si="0"/>
        <v>642.86</v>
      </c>
      <c r="H43">
        <f t="shared" si="1"/>
        <v>642.85714285714278</v>
      </c>
      <c r="I43">
        <f t="shared" si="2"/>
        <v>32.142857142857224</v>
      </c>
      <c r="J43">
        <f t="shared" si="3"/>
        <v>675</v>
      </c>
    </row>
    <row r="44" spans="2:10">
      <c r="B44" t="s">
        <v>68</v>
      </c>
      <c r="C44">
        <v>4219</v>
      </c>
      <c r="D44">
        <v>395</v>
      </c>
      <c r="E44">
        <v>2</v>
      </c>
      <c r="F44">
        <f t="shared" si="0"/>
        <v>376.19</v>
      </c>
      <c r="H44">
        <f t="shared" si="1"/>
        <v>376.19047619047615</v>
      </c>
      <c r="I44">
        <f t="shared" si="2"/>
        <v>18.809523809523853</v>
      </c>
      <c r="J44">
        <f t="shared" si="3"/>
        <v>395</v>
      </c>
    </row>
    <row r="45" spans="2:10">
      <c r="B45" t="s">
        <v>68</v>
      </c>
      <c r="C45">
        <v>4220</v>
      </c>
      <c r="D45">
        <v>425</v>
      </c>
      <c r="F45">
        <f t="shared" si="0"/>
        <v>404.76</v>
      </c>
      <c r="H45">
        <f t="shared" si="1"/>
        <v>404.76190476190476</v>
      </c>
      <c r="I45">
        <f t="shared" si="2"/>
        <v>20.238095238095241</v>
      </c>
      <c r="J45">
        <f t="shared" si="3"/>
        <v>425</v>
      </c>
    </row>
    <row r="46" spans="2:10">
      <c r="B46" t="s">
        <v>68</v>
      </c>
      <c r="C46">
        <v>4219</v>
      </c>
      <c r="D46">
        <v>395</v>
      </c>
      <c r="F46">
        <f t="shared" si="0"/>
        <v>376.19</v>
      </c>
      <c r="H46">
        <f t="shared" si="1"/>
        <v>376.19047619047615</v>
      </c>
      <c r="I46">
        <f t="shared" si="2"/>
        <v>18.809523809523853</v>
      </c>
      <c r="J46">
        <f t="shared" si="3"/>
        <v>395</v>
      </c>
    </row>
    <row r="47" spans="2:10">
      <c r="B47" t="s">
        <v>72</v>
      </c>
      <c r="C47">
        <v>601</v>
      </c>
      <c r="D47">
        <v>325</v>
      </c>
      <c r="F47">
        <f t="shared" si="0"/>
        <v>309.52</v>
      </c>
      <c r="H47">
        <f t="shared" si="1"/>
        <v>309.52380952380952</v>
      </c>
      <c r="I47">
        <f t="shared" si="2"/>
        <v>15.476190476190482</v>
      </c>
      <c r="J47">
        <f t="shared" si="3"/>
        <v>325</v>
      </c>
    </row>
    <row r="48" spans="2:10">
      <c r="B48" t="s">
        <v>35</v>
      </c>
      <c r="C48">
        <v>4236</v>
      </c>
      <c r="D48">
        <v>365</v>
      </c>
      <c r="F48">
        <f t="shared" si="0"/>
        <v>347.62</v>
      </c>
      <c r="H48">
        <f t="shared" si="1"/>
        <v>347.61904761904759</v>
      </c>
      <c r="I48">
        <f t="shared" si="2"/>
        <v>17.380952380952408</v>
      </c>
      <c r="J48">
        <f t="shared" si="3"/>
        <v>365</v>
      </c>
    </row>
    <row r="49" spans="2:10">
      <c r="B49" t="s">
        <v>33</v>
      </c>
      <c r="C49">
        <v>4237</v>
      </c>
      <c r="D49">
        <v>375</v>
      </c>
      <c r="F49">
        <f t="shared" si="0"/>
        <v>357.14</v>
      </c>
      <c r="H49">
        <f t="shared" si="1"/>
        <v>357.14285714285711</v>
      </c>
      <c r="I49">
        <f t="shared" si="2"/>
        <v>17.85714285714289</v>
      </c>
      <c r="J49">
        <f t="shared" si="3"/>
        <v>375</v>
      </c>
    </row>
    <row r="50" spans="2:10">
      <c r="B50" t="s">
        <v>73</v>
      </c>
      <c r="C50">
        <v>4231</v>
      </c>
      <c r="D50">
        <v>375</v>
      </c>
      <c r="F50">
        <f t="shared" si="0"/>
        <v>357.14</v>
      </c>
      <c r="H50">
        <f t="shared" si="1"/>
        <v>357.14285714285711</v>
      </c>
      <c r="I50">
        <f t="shared" si="2"/>
        <v>17.85714285714289</v>
      </c>
      <c r="J50">
        <f t="shared" si="3"/>
        <v>375</v>
      </c>
    </row>
    <row r="51" spans="2:10">
      <c r="B51" t="s">
        <v>68</v>
      </c>
      <c r="C51">
        <v>4219</v>
      </c>
      <c r="D51">
        <v>395</v>
      </c>
      <c r="F51">
        <f t="shared" si="0"/>
        <v>376.19</v>
      </c>
      <c r="H51">
        <f t="shared" si="1"/>
        <v>376.19047619047615</v>
      </c>
      <c r="I51">
        <f t="shared" si="2"/>
        <v>18.809523809523853</v>
      </c>
      <c r="J51">
        <f t="shared" si="3"/>
        <v>395</v>
      </c>
    </row>
    <row r="52" spans="2:10">
      <c r="B52" t="s">
        <v>16</v>
      </c>
      <c r="C52">
        <v>4230</v>
      </c>
      <c r="D52">
        <v>375</v>
      </c>
      <c r="F52">
        <f t="shared" si="0"/>
        <v>357.14</v>
      </c>
      <c r="H52">
        <f t="shared" si="1"/>
        <v>357.14285714285711</v>
      </c>
      <c r="I52">
        <f t="shared" si="2"/>
        <v>17.85714285714289</v>
      </c>
      <c r="J52">
        <f t="shared" si="3"/>
        <v>375</v>
      </c>
    </row>
    <row r="53" spans="2:10">
      <c r="B53" t="s">
        <v>16</v>
      </c>
      <c r="C53">
        <v>4221</v>
      </c>
      <c r="D53">
        <v>675</v>
      </c>
      <c r="F53">
        <f t="shared" si="0"/>
        <v>642.86</v>
      </c>
      <c r="H53">
        <f t="shared" si="1"/>
        <v>642.85714285714278</v>
      </c>
      <c r="I53">
        <f t="shared" si="2"/>
        <v>32.142857142857224</v>
      </c>
      <c r="J53">
        <f t="shared" si="3"/>
        <v>675</v>
      </c>
    </row>
    <row r="54" spans="2:10">
      <c r="B54" t="s">
        <v>68</v>
      </c>
      <c r="C54">
        <v>4220</v>
      </c>
      <c r="D54">
        <v>425</v>
      </c>
      <c r="F54">
        <f t="shared" si="0"/>
        <v>404.76</v>
      </c>
      <c r="H54">
        <f t="shared" si="1"/>
        <v>404.76190476190476</v>
      </c>
      <c r="I54">
        <f t="shared" si="2"/>
        <v>20.238095238095241</v>
      </c>
      <c r="J54">
        <f t="shared" si="3"/>
        <v>425</v>
      </c>
    </row>
    <row r="55" spans="2:10">
      <c r="B55" t="s">
        <v>68</v>
      </c>
      <c r="C55">
        <v>4219</v>
      </c>
      <c r="D55">
        <v>395</v>
      </c>
      <c r="F55">
        <f t="shared" si="0"/>
        <v>376.19</v>
      </c>
      <c r="H55">
        <f t="shared" si="1"/>
        <v>376.19047619047615</v>
      </c>
      <c r="I55">
        <f t="shared" si="2"/>
        <v>18.809523809523853</v>
      </c>
      <c r="J55">
        <f t="shared" si="3"/>
        <v>395</v>
      </c>
    </row>
    <row r="56" spans="2:10">
      <c r="B56" t="s">
        <v>33</v>
      </c>
      <c r="C56">
        <v>4237</v>
      </c>
      <c r="D56">
        <v>375</v>
      </c>
      <c r="F56">
        <f t="shared" si="0"/>
        <v>357.14</v>
      </c>
      <c r="H56">
        <f t="shared" si="1"/>
        <v>357.14285714285711</v>
      </c>
      <c r="I56">
        <f t="shared" si="2"/>
        <v>17.85714285714289</v>
      </c>
      <c r="J56">
        <f t="shared" si="3"/>
        <v>375</v>
      </c>
    </row>
    <row r="57" spans="2:10">
      <c r="B57" t="s">
        <v>73</v>
      </c>
      <c r="C57">
        <v>4231</v>
      </c>
      <c r="D57">
        <v>375</v>
      </c>
      <c r="F57">
        <f t="shared" si="0"/>
        <v>357.14</v>
      </c>
      <c r="H57">
        <f t="shared" si="1"/>
        <v>357.14285714285711</v>
      </c>
      <c r="I57">
        <f t="shared" si="2"/>
        <v>17.85714285714289</v>
      </c>
      <c r="J57">
        <f t="shared" si="3"/>
        <v>375</v>
      </c>
    </row>
    <row r="58" spans="2:10">
      <c r="B58" t="s">
        <v>74</v>
      </c>
      <c r="C58">
        <v>4224</v>
      </c>
      <c r="D58">
        <v>595</v>
      </c>
      <c r="F58">
        <f t="shared" si="0"/>
        <v>566.66999999999996</v>
      </c>
      <c r="H58">
        <f t="shared" si="1"/>
        <v>566.66666666666663</v>
      </c>
      <c r="I58">
        <f t="shared" si="2"/>
        <v>28.333333333333371</v>
      </c>
      <c r="J58">
        <f t="shared" si="3"/>
        <v>595</v>
      </c>
    </row>
    <row r="59" spans="2:10">
      <c r="B59" t="s">
        <v>75</v>
      </c>
      <c r="C59">
        <v>4237</v>
      </c>
      <c r="D59">
        <v>375</v>
      </c>
      <c r="F59">
        <f t="shared" si="0"/>
        <v>357.14</v>
      </c>
      <c r="H59">
        <f t="shared" si="1"/>
        <v>357.14285714285711</v>
      </c>
      <c r="I59">
        <f t="shared" si="2"/>
        <v>17.85714285714289</v>
      </c>
      <c r="J59">
        <f t="shared" si="3"/>
        <v>375</v>
      </c>
    </row>
    <row r="60" spans="2:10">
      <c r="B60" t="s">
        <v>68</v>
      </c>
      <c r="C60">
        <v>4220</v>
      </c>
      <c r="D60">
        <v>425</v>
      </c>
      <c r="E60">
        <v>2</v>
      </c>
      <c r="F60">
        <f t="shared" si="0"/>
        <v>404.76</v>
      </c>
      <c r="H60">
        <f t="shared" si="1"/>
        <v>404.76190476190476</v>
      </c>
      <c r="I60">
        <f t="shared" si="2"/>
        <v>20.238095238095241</v>
      </c>
      <c r="J60">
        <f t="shared" si="3"/>
        <v>425</v>
      </c>
    </row>
    <row r="61" spans="2:10">
      <c r="B61" t="s">
        <v>76</v>
      </c>
      <c r="C61">
        <v>4229</v>
      </c>
      <c r="D61">
        <v>350</v>
      </c>
      <c r="F61">
        <f t="shared" si="0"/>
        <v>333.33</v>
      </c>
      <c r="H61">
        <f t="shared" si="1"/>
        <v>333.33333333333331</v>
      </c>
      <c r="I61">
        <f t="shared" si="2"/>
        <v>16.666666666666686</v>
      </c>
      <c r="J61">
        <f t="shared" si="3"/>
        <v>350</v>
      </c>
    </row>
    <row r="62" spans="2:10">
      <c r="B62" t="s">
        <v>68</v>
      </c>
      <c r="C62">
        <v>4219</v>
      </c>
      <c r="D62">
        <v>395</v>
      </c>
      <c r="E62">
        <v>4</v>
      </c>
      <c r="F62">
        <f t="shared" si="0"/>
        <v>376.19</v>
      </c>
      <c r="H62">
        <f t="shared" si="1"/>
        <v>376.19047619047615</v>
      </c>
      <c r="I62">
        <f t="shared" si="2"/>
        <v>18.809523809523853</v>
      </c>
      <c r="J62">
        <f t="shared" si="3"/>
        <v>395</v>
      </c>
    </row>
    <row r="63" spans="2:10">
      <c r="B63" t="s">
        <v>35</v>
      </c>
      <c r="C63">
        <v>4232</v>
      </c>
      <c r="D63">
        <v>355</v>
      </c>
      <c r="F63">
        <f t="shared" si="0"/>
        <v>338.1</v>
      </c>
      <c r="H63">
        <f t="shared" si="1"/>
        <v>338.09523809523807</v>
      </c>
      <c r="I63">
        <f t="shared" si="2"/>
        <v>16.904761904761926</v>
      </c>
      <c r="J63">
        <f t="shared" si="3"/>
        <v>355</v>
      </c>
    </row>
    <row r="64" spans="2:10">
      <c r="B64" t="s">
        <v>35</v>
      </c>
      <c r="C64">
        <v>4236</v>
      </c>
      <c r="D64">
        <v>365</v>
      </c>
      <c r="F64">
        <f t="shared" si="0"/>
        <v>347.62</v>
      </c>
      <c r="H64">
        <f t="shared" si="1"/>
        <v>347.61904761904759</v>
      </c>
      <c r="I64">
        <f t="shared" si="2"/>
        <v>17.380952380952408</v>
      </c>
      <c r="J64">
        <f t="shared" si="3"/>
        <v>365</v>
      </c>
    </row>
    <row r="65" spans="2:10">
      <c r="B65" t="s">
        <v>77</v>
      </c>
      <c r="C65">
        <v>4228</v>
      </c>
      <c r="D65">
        <v>350</v>
      </c>
      <c r="F65">
        <f t="shared" si="0"/>
        <v>333.33</v>
      </c>
      <c r="H65">
        <f t="shared" si="1"/>
        <v>333.33333333333331</v>
      </c>
      <c r="I65">
        <f t="shared" si="2"/>
        <v>16.666666666666686</v>
      </c>
      <c r="J65">
        <f t="shared" si="3"/>
        <v>350</v>
      </c>
    </row>
    <row r="66" spans="2:10">
      <c r="B66" t="s">
        <v>78</v>
      </c>
      <c r="C66">
        <v>1540</v>
      </c>
      <c r="D66">
        <v>325</v>
      </c>
      <c r="F66">
        <f t="shared" si="0"/>
        <v>309.52</v>
      </c>
      <c r="H66">
        <f t="shared" si="1"/>
        <v>309.52380952380952</v>
      </c>
      <c r="I66">
        <f t="shared" si="2"/>
        <v>15.476190476190482</v>
      </c>
      <c r="J66">
        <f t="shared" si="3"/>
        <v>325</v>
      </c>
    </row>
    <row r="67" spans="2:10">
      <c r="B67" t="s">
        <v>72</v>
      </c>
      <c r="C67">
        <v>4225</v>
      </c>
      <c r="D67">
        <v>365</v>
      </c>
      <c r="F67">
        <f t="shared" ref="F67:F110" si="4">ROUND(IF(D67&gt;2500, D67/1.18, D67/1.05),2)</f>
        <v>347.62</v>
      </c>
      <c r="H67">
        <f t="shared" ref="H67:H110" si="5">D67/1.05</f>
        <v>347.61904761904759</v>
      </c>
      <c r="I67">
        <f t="shared" ref="I67:I110" si="6">D67-H67</f>
        <v>17.380952380952408</v>
      </c>
      <c r="J67">
        <f t="shared" ref="J67:J110" si="7">SUM(H67:I67)</f>
        <v>365</v>
      </c>
    </row>
    <row r="68" spans="2:10">
      <c r="B68" t="s">
        <v>15</v>
      </c>
      <c r="C68">
        <v>4227</v>
      </c>
      <c r="D68">
        <v>365</v>
      </c>
      <c r="F68">
        <f t="shared" si="4"/>
        <v>347.62</v>
      </c>
      <c r="H68">
        <f t="shared" si="5"/>
        <v>347.61904761904759</v>
      </c>
      <c r="I68">
        <f t="shared" si="6"/>
        <v>17.380952380952408</v>
      </c>
      <c r="J68">
        <f t="shared" si="7"/>
        <v>365</v>
      </c>
    </row>
    <row r="69" spans="2:10">
      <c r="B69" t="s">
        <v>68</v>
      </c>
      <c r="C69">
        <v>4219</v>
      </c>
      <c r="D69">
        <v>395</v>
      </c>
      <c r="F69">
        <f t="shared" si="4"/>
        <v>376.19</v>
      </c>
      <c r="H69">
        <f t="shared" si="5"/>
        <v>376.19047619047615</v>
      </c>
      <c r="I69">
        <f t="shared" si="6"/>
        <v>18.809523809523853</v>
      </c>
      <c r="J69">
        <f t="shared" si="7"/>
        <v>395</v>
      </c>
    </row>
    <row r="70" spans="2:10">
      <c r="B70" t="s">
        <v>35</v>
      </c>
      <c r="C70">
        <v>3599</v>
      </c>
      <c r="D70">
        <v>545</v>
      </c>
      <c r="F70">
        <f t="shared" si="4"/>
        <v>519.04999999999995</v>
      </c>
      <c r="H70">
        <f t="shared" si="5"/>
        <v>519.04761904761904</v>
      </c>
      <c r="I70">
        <f t="shared" si="6"/>
        <v>25.952380952380963</v>
      </c>
      <c r="J70">
        <f t="shared" si="7"/>
        <v>545</v>
      </c>
    </row>
    <row r="71" spans="2:10">
      <c r="B71" t="s">
        <v>68</v>
      </c>
      <c r="C71">
        <v>4219</v>
      </c>
      <c r="D71">
        <v>395</v>
      </c>
      <c r="F71">
        <f t="shared" si="4"/>
        <v>376.19</v>
      </c>
      <c r="H71">
        <f t="shared" si="5"/>
        <v>376.19047619047615</v>
      </c>
      <c r="I71">
        <f t="shared" si="6"/>
        <v>18.809523809523853</v>
      </c>
      <c r="J71">
        <f t="shared" si="7"/>
        <v>395</v>
      </c>
    </row>
    <row r="72" spans="2:10">
      <c r="B72" t="s">
        <v>35</v>
      </c>
      <c r="C72">
        <v>4236</v>
      </c>
      <c r="D72">
        <v>365</v>
      </c>
      <c r="F72">
        <f t="shared" si="4"/>
        <v>347.62</v>
      </c>
      <c r="H72">
        <f t="shared" si="5"/>
        <v>347.61904761904759</v>
      </c>
      <c r="I72">
        <f t="shared" si="6"/>
        <v>17.380952380952408</v>
      </c>
      <c r="J72">
        <f t="shared" si="7"/>
        <v>365</v>
      </c>
    </row>
    <row r="73" spans="2:10">
      <c r="B73" t="s">
        <v>68</v>
      </c>
      <c r="C73">
        <v>4219</v>
      </c>
      <c r="D73">
        <v>395</v>
      </c>
      <c r="F73">
        <f t="shared" si="4"/>
        <v>376.19</v>
      </c>
      <c r="H73">
        <f t="shared" si="5"/>
        <v>376.19047619047615</v>
      </c>
      <c r="I73">
        <f t="shared" si="6"/>
        <v>18.809523809523853</v>
      </c>
      <c r="J73">
        <f t="shared" si="7"/>
        <v>395</v>
      </c>
    </row>
    <row r="74" spans="2:10">
      <c r="B74" t="s">
        <v>16</v>
      </c>
      <c r="C74">
        <v>4226</v>
      </c>
      <c r="D74">
        <v>375</v>
      </c>
      <c r="F74">
        <f t="shared" si="4"/>
        <v>357.14</v>
      </c>
      <c r="H74">
        <f t="shared" si="5"/>
        <v>357.14285714285711</v>
      </c>
      <c r="I74">
        <f t="shared" si="6"/>
        <v>17.85714285714289</v>
      </c>
      <c r="J74">
        <f t="shared" si="7"/>
        <v>375</v>
      </c>
    </row>
    <row r="75" spans="2:10">
      <c r="B75" t="s">
        <v>16</v>
      </c>
      <c r="C75">
        <v>995</v>
      </c>
      <c r="D75">
        <v>305</v>
      </c>
      <c r="F75">
        <f t="shared" si="4"/>
        <v>290.48</v>
      </c>
      <c r="H75">
        <f t="shared" si="5"/>
        <v>290.47619047619048</v>
      </c>
      <c r="I75">
        <f t="shared" si="6"/>
        <v>14.523809523809518</v>
      </c>
      <c r="J75">
        <f t="shared" si="7"/>
        <v>305</v>
      </c>
    </row>
    <row r="76" spans="2:10">
      <c r="B76" t="s">
        <v>16</v>
      </c>
      <c r="C76">
        <v>4226</v>
      </c>
      <c r="D76">
        <v>375</v>
      </c>
      <c r="F76">
        <f t="shared" si="4"/>
        <v>357.14</v>
      </c>
      <c r="H76">
        <f t="shared" si="5"/>
        <v>357.14285714285711</v>
      </c>
      <c r="I76">
        <f t="shared" si="6"/>
        <v>17.85714285714289</v>
      </c>
      <c r="J76">
        <f t="shared" si="7"/>
        <v>375</v>
      </c>
    </row>
    <row r="77" spans="2:10">
      <c r="B77" t="s">
        <v>35</v>
      </c>
      <c r="C77">
        <v>4232</v>
      </c>
      <c r="D77">
        <v>355</v>
      </c>
      <c r="F77">
        <f t="shared" si="4"/>
        <v>338.1</v>
      </c>
      <c r="H77">
        <f t="shared" si="5"/>
        <v>338.09523809523807</v>
      </c>
      <c r="I77">
        <f t="shared" si="6"/>
        <v>16.904761904761926</v>
      </c>
      <c r="J77">
        <f t="shared" si="7"/>
        <v>355</v>
      </c>
    </row>
    <row r="78" spans="2:10">
      <c r="B78" t="s">
        <v>16</v>
      </c>
      <c r="C78">
        <v>4226</v>
      </c>
      <c r="D78">
        <v>375</v>
      </c>
      <c r="F78">
        <f t="shared" si="4"/>
        <v>357.14</v>
      </c>
      <c r="H78">
        <f t="shared" si="5"/>
        <v>357.14285714285711</v>
      </c>
      <c r="I78">
        <f t="shared" si="6"/>
        <v>17.85714285714289</v>
      </c>
      <c r="J78">
        <f t="shared" si="7"/>
        <v>375</v>
      </c>
    </row>
    <row r="79" spans="2:10">
      <c r="B79" t="s">
        <v>35</v>
      </c>
      <c r="C79">
        <v>4236</v>
      </c>
      <c r="D79">
        <v>365</v>
      </c>
      <c r="F79">
        <f t="shared" si="4"/>
        <v>347.62</v>
      </c>
      <c r="H79">
        <f t="shared" si="5"/>
        <v>347.61904761904759</v>
      </c>
      <c r="I79">
        <f t="shared" si="6"/>
        <v>17.380952380952408</v>
      </c>
      <c r="J79">
        <f t="shared" si="7"/>
        <v>365</v>
      </c>
    </row>
    <row r="80" spans="2:10">
      <c r="B80" t="s">
        <v>15</v>
      </c>
      <c r="C80">
        <v>4227</v>
      </c>
      <c r="D80">
        <v>365</v>
      </c>
      <c r="F80">
        <f t="shared" si="4"/>
        <v>347.62</v>
      </c>
      <c r="H80">
        <f t="shared" si="5"/>
        <v>347.61904761904759</v>
      </c>
      <c r="I80">
        <f t="shared" si="6"/>
        <v>17.380952380952408</v>
      </c>
      <c r="J80">
        <f t="shared" si="7"/>
        <v>365</v>
      </c>
    </row>
    <row r="81" spans="2:10">
      <c r="B81" t="s">
        <v>35</v>
      </c>
      <c r="C81">
        <v>4232</v>
      </c>
      <c r="D81">
        <v>355</v>
      </c>
      <c r="F81">
        <f t="shared" si="4"/>
        <v>338.1</v>
      </c>
      <c r="H81">
        <f t="shared" si="5"/>
        <v>338.09523809523807</v>
      </c>
      <c r="I81">
        <f t="shared" si="6"/>
        <v>16.904761904761926</v>
      </c>
      <c r="J81">
        <f t="shared" si="7"/>
        <v>355</v>
      </c>
    </row>
    <row r="82" spans="2:10">
      <c r="B82" t="s">
        <v>68</v>
      </c>
      <c r="C82">
        <v>4219</v>
      </c>
      <c r="D82">
        <v>395</v>
      </c>
      <c r="F82">
        <f t="shared" si="4"/>
        <v>376.19</v>
      </c>
      <c r="H82">
        <f t="shared" si="5"/>
        <v>376.19047619047615</v>
      </c>
      <c r="I82">
        <f t="shared" si="6"/>
        <v>18.809523809523853</v>
      </c>
      <c r="J82">
        <f t="shared" si="7"/>
        <v>395</v>
      </c>
    </row>
    <row r="83" spans="2:10">
      <c r="B83" t="s">
        <v>15</v>
      </c>
      <c r="C83">
        <v>4227</v>
      </c>
      <c r="D83">
        <v>365</v>
      </c>
      <c r="F83">
        <f t="shared" si="4"/>
        <v>347.62</v>
      </c>
      <c r="H83">
        <f t="shared" si="5"/>
        <v>347.61904761904759</v>
      </c>
      <c r="I83">
        <f t="shared" si="6"/>
        <v>17.380952380952408</v>
      </c>
      <c r="J83">
        <f t="shared" si="7"/>
        <v>365</v>
      </c>
    </row>
    <row r="84" spans="2:10">
      <c r="B84" t="s">
        <v>16</v>
      </c>
      <c r="C84">
        <v>4230</v>
      </c>
      <c r="D84">
        <v>375</v>
      </c>
      <c r="F84">
        <f t="shared" si="4"/>
        <v>357.14</v>
      </c>
      <c r="H84">
        <f t="shared" si="5"/>
        <v>357.14285714285711</v>
      </c>
      <c r="I84">
        <f t="shared" si="6"/>
        <v>17.85714285714289</v>
      </c>
      <c r="J84">
        <f t="shared" si="7"/>
        <v>375</v>
      </c>
    </row>
    <row r="85" spans="2:10">
      <c r="B85" t="s">
        <v>35</v>
      </c>
      <c r="C85">
        <v>4237</v>
      </c>
      <c r="D85">
        <v>375</v>
      </c>
      <c r="F85">
        <f t="shared" si="4"/>
        <v>357.14</v>
      </c>
      <c r="H85">
        <f t="shared" si="5"/>
        <v>357.14285714285711</v>
      </c>
      <c r="I85">
        <f t="shared" si="6"/>
        <v>17.85714285714289</v>
      </c>
      <c r="J85">
        <f t="shared" si="7"/>
        <v>375</v>
      </c>
    </row>
    <row r="86" spans="2:10">
      <c r="B86" t="s">
        <v>16</v>
      </c>
      <c r="C86">
        <v>4226</v>
      </c>
      <c r="D86">
        <v>375</v>
      </c>
      <c r="F86">
        <f t="shared" si="4"/>
        <v>357.14</v>
      </c>
      <c r="H86">
        <f t="shared" si="5"/>
        <v>357.14285714285711</v>
      </c>
      <c r="I86">
        <f t="shared" si="6"/>
        <v>17.85714285714289</v>
      </c>
      <c r="J86">
        <f t="shared" si="7"/>
        <v>375</v>
      </c>
    </row>
    <row r="87" spans="2:10">
      <c r="B87" t="s">
        <v>35</v>
      </c>
      <c r="C87">
        <v>4229</v>
      </c>
      <c r="D87">
        <v>350</v>
      </c>
      <c r="F87">
        <f t="shared" si="4"/>
        <v>333.33</v>
      </c>
      <c r="H87">
        <f t="shared" si="5"/>
        <v>333.33333333333331</v>
      </c>
      <c r="I87">
        <f t="shared" si="6"/>
        <v>16.666666666666686</v>
      </c>
      <c r="J87">
        <f t="shared" si="7"/>
        <v>350</v>
      </c>
    </row>
    <row r="88" spans="2:10">
      <c r="B88" t="s">
        <v>73</v>
      </c>
      <c r="C88">
        <v>991</v>
      </c>
      <c r="D88">
        <v>305</v>
      </c>
      <c r="F88">
        <f t="shared" si="4"/>
        <v>290.48</v>
      </c>
      <c r="H88">
        <f t="shared" si="5"/>
        <v>290.47619047619048</v>
      </c>
      <c r="I88">
        <f t="shared" si="6"/>
        <v>14.523809523809518</v>
      </c>
      <c r="J88">
        <f t="shared" si="7"/>
        <v>305</v>
      </c>
    </row>
    <row r="89" spans="2:10">
      <c r="B89" t="s">
        <v>68</v>
      </c>
      <c r="C89">
        <v>4219</v>
      </c>
      <c r="D89">
        <v>395</v>
      </c>
      <c r="E89">
        <v>3</v>
      </c>
      <c r="F89">
        <f t="shared" si="4"/>
        <v>376.19</v>
      </c>
      <c r="H89">
        <f t="shared" si="5"/>
        <v>376.19047619047615</v>
      </c>
      <c r="I89">
        <f t="shared" si="6"/>
        <v>18.809523809523853</v>
      </c>
      <c r="J89">
        <f t="shared" si="7"/>
        <v>395</v>
      </c>
    </row>
    <row r="90" spans="2:10">
      <c r="B90" t="s">
        <v>35</v>
      </c>
      <c r="C90">
        <v>4232</v>
      </c>
      <c r="D90">
        <v>355</v>
      </c>
      <c r="F90">
        <f t="shared" si="4"/>
        <v>338.1</v>
      </c>
      <c r="H90">
        <f t="shared" si="5"/>
        <v>338.09523809523807</v>
      </c>
      <c r="I90">
        <f t="shared" si="6"/>
        <v>16.904761904761926</v>
      </c>
      <c r="J90">
        <f t="shared" si="7"/>
        <v>355</v>
      </c>
    </row>
    <row r="91" spans="2:10">
      <c r="B91" t="s">
        <v>35</v>
      </c>
      <c r="C91">
        <v>4232</v>
      </c>
      <c r="D91">
        <v>355</v>
      </c>
      <c r="F91">
        <f t="shared" si="4"/>
        <v>338.1</v>
      </c>
      <c r="H91">
        <f t="shared" si="5"/>
        <v>338.09523809523807</v>
      </c>
      <c r="I91">
        <f t="shared" si="6"/>
        <v>16.904761904761926</v>
      </c>
      <c r="J91">
        <f t="shared" si="7"/>
        <v>355</v>
      </c>
    </row>
    <row r="92" spans="2:10">
      <c r="B92" t="s">
        <v>15</v>
      </c>
      <c r="C92">
        <v>4227</v>
      </c>
      <c r="D92">
        <v>365</v>
      </c>
      <c r="F92">
        <f t="shared" si="4"/>
        <v>347.62</v>
      </c>
      <c r="H92">
        <f t="shared" si="5"/>
        <v>347.61904761904759</v>
      </c>
      <c r="I92">
        <f t="shared" si="6"/>
        <v>17.380952380952408</v>
      </c>
      <c r="J92">
        <f t="shared" si="7"/>
        <v>365</v>
      </c>
    </row>
    <row r="93" spans="2:10">
      <c r="B93" t="s">
        <v>35</v>
      </c>
      <c r="C93">
        <v>4232</v>
      </c>
      <c r="D93">
        <v>355</v>
      </c>
      <c r="F93">
        <f t="shared" si="4"/>
        <v>338.1</v>
      </c>
      <c r="H93">
        <f t="shared" si="5"/>
        <v>338.09523809523807</v>
      </c>
      <c r="I93">
        <f t="shared" si="6"/>
        <v>16.904761904761926</v>
      </c>
      <c r="J93">
        <f t="shared" si="7"/>
        <v>355</v>
      </c>
    </row>
    <row r="94" spans="2:10">
      <c r="B94" t="s">
        <v>35</v>
      </c>
      <c r="C94">
        <v>4236</v>
      </c>
      <c r="D94">
        <v>365</v>
      </c>
      <c r="F94">
        <f t="shared" si="4"/>
        <v>347.62</v>
      </c>
      <c r="H94">
        <f t="shared" si="5"/>
        <v>347.61904761904759</v>
      </c>
      <c r="I94">
        <f t="shared" si="6"/>
        <v>17.380952380952408</v>
      </c>
      <c r="J94">
        <f t="shared" si="7"/>
        <v>365</v>
      </c>
    </row>
    <row r="95" spans="2:10">
      <c r="B95" t="s">
        <v>16</v>
      </c>
      <c r="C95">
        <v>997</v>
      </c>
      <c r="D95">
        <v>275</v>
      </c>
      <c r="F95">
        <f t="shared" si="4"/>
        <v>261.89999999999998</v>
      </c>
      <c r="H95">
        <f t="shared" si="5"/>
        <v>261.90476190476187</v>
      </c>
      <c r="I95">
        <f t="shared" si="6"/>
        <v>13.09523809523813</v>
      </c>
      <c r="J95">
        <f t="shared" si="7"/>
        <v>275</v>
      </c>
    </row>
    <row r="96" spans="2:10">
      <c r="B96" t="s">
        <v>68</v>
      </c>
      <c r="C96">
        <v>4219</v>
      </c>
      <c r="D96">
        <v>395</v>
      </c>
      <c r="F96">
        <f t="shared" si="4"/>
        <v>376.19</v>
      </c>
      <c r="H96">
        <f t="shared" si="5"/>
        <v>376.19047619047615</v>
      </c>
      <c r="I96">
        <f t="shared" si="6"/>
        <v>18.809523809523853</v>
      </c>
      <c r="J96">
        <f t="shared" si="7"/>
        <v>395</v>
      </c>
    </row>
    <row r="97" spans="2:10">
      <c r="B97" t="s">
        <v>73</v>
      </c>
      <c r="C97">
        <v>601</v>
      </c>
      <c r="D97">
        <v>325</v>
      </c>
      <c r="F97">
        <f t="shared" si="4"/>
        <v>309.52</v>
      </c>
      <c r="H97">
        <f t="shared" si="5"/>
        <v>309.52380952380952</v>
      </c>
      <c r="I97">
        <f t="shared" si="6"/>
        <v>15.476190476190482</v>
      </c>
      <c r="J97">
        <f t="shared" si="7"/>
        <v>325</v>
      </c>
    </row>
    <row r="98" spans="2:10">
      <c r="B98" t="s">
        <v>16</v>
      </c>
      <c r="C98">
        <v>4221</v>
      </c>
      <c r="D98">
        <v>675</v>
      </c>
      <c r="F98">
        <f t="shared" si="4"/>
        <v>642.86</v>
      </c>
      <c r="H98">
        <f t="shared" si="5"/>
        <v>642.85714285714278</v>
      </c>
      <c r="I98">
        <f t="shared" si="6"/>
        <v>32.142857142857224</v>
      </c>
      <c r="J98">
        <f t="shared" si="7"/>
        <v>675</v>
      </c>
    </row>
    <row r="99" spans="2:10">
      <c r="B99" t="s">
        <v>35</v>
      </c>
      <c r="C99">
        <v>4236</v>
      </c>
      <c r="D99">
        <v>365</v>
      </c>
      <c r="F99">
        <f t="shared" si="4"/>
        <v>347.62</v>
      </c>
      <c r="H99">
        <f t="shared" si="5"/>
        <v>347.61904761904759</v>
      </c>
      <c r="I99">
        <f t="shared" si="6"/>
        <v>17.380952380952408</v>
      </c>
      <c r="J99">
        <f t="shared" si="7"/>
        <v>365</v>
      </c>
    </row>
    <row r="100" spans="2:10">
      <c r="B100" t="s">
        <v>78</v>
      </c>
      <c r="C100">
        <v>1540</v>
      </c>
      <c r="D100">
        <v>325</v>
      </c>
      <c r="F100">
        <f t="shared" si="4"/>
        <v>309.52</v>
      </c>
      <c r="H100">
        <f t="shared" si="5"/>
        <v>309.52380952380952</v>
      </c>
      <c r="I100">
        <f t="shared" si="6"/>
        <v>15.476190476190482</v>
      </c>
      <c r="J100">
        <f t="shared" si="7"/>
        <v>325</v>
      </c>
    </row>
    <row r="101" spans="2:10">
      <c r="B101" t="s">
        <v>15</v>
      </c>
      <c r="C101">
        <v>4227</v>
      </c>
      <c r="D101">
        <v>365</v>
      </c>
      <c r="F101">
        <f t="shared" si="4"/>
        <v>347.62</v>
      </c>
      <c r="H101">
        <f t="shared" si="5"/>
        <v>347.61904761904759</v>
      </c>
      <c r="I101">
        <f t="shared" si="6"/>
        <v>17.380952380952408</v>
      </c>
      <c r="J101">
        <f t="shared" si="7"/>
        <v>365</v>
      </c>
    </row>
    <row r="102" spans="2:10">
      <c r="B102" t="s">
        <v>69</v>
      </c>
      <c r="C102">
        <v>4234</v>
      </c>
      <c r="D102">
        <v>365</v>
      </c>
      <c r="F102">
        <f t="shared" si="4"/>
        <v>347.62</v>
      </c>
      <c r="H102">
        <f t="shared" si="5"/>
        <v>347.61904761904759</v>
      </c>
      <c r="I102">
        <f t="shared" si="6"/>
        <v>17.380952380952408</v>
      </c>
      <c r="J102">
        <f t="shared" si="7"/>
        <v>365</v>
      </c>
    </row>
    <row r="103" spans="2:10">
      <c r="B103" t="s">
        <v>33</v>
      </c>
      <c r="C103">
        <v>4237</v>
      </c>
      <c r="D103">
        <v>375</v>
      </c>
      <c r="F103">
        <f t="shared" si="4"/>
        <v>357.14</v>
      </c>
      <c r="H103">
        <f t="shared" si="5"/>
        <v>357.14285714285711</v>
      </c>
      <c r="I103">
        <f t="shared" si="6"/>
        <v>17.85714285714289</v>
      </c>
      <c r="J103">
        <f t="shared" si="7"/>
        <v>375</v>
      </c>
    </row>
    <row r="104" spans="2:10">
      <c r="B104" t="s">
        <v>68</v>
      </c>
      <c r="C104">
        <v>4219</v>
      </c>
      <c r="D104">
        <v>395</v>
      </c>
      <c r="E104">
        <v>2</v>
      </c>
      <c r="F104">
        <f t="shared" si="4"/>
        <v>376.19</v>
      </c>
      <c r="H104">
        <f t="shared" si="5"/>
        <v>376.19047619047615</v>
      </c>
      <c r="I104">
        <f t="shared" si="6"/>
        <v>18.809523809523853</v>
      </c>
      <c r="J104">
        <f t="shared" si="7"/>
        <v>395</v>
      </c>
    </row>
    <row r="105" spans="2:10">
      <c r="B105" t="s">
        <v>35</v>
      </c>
      <c r="C105">
        <v>4232</v>
      </c>
      <c r="D105">
        <v>355</v>
      </c>
      <c r="F105">
        <f t="shared" si="4"/>
        <v>338.1</v>
      </c>
      <c r="H105">
        <f t="shared" si="5"/>
        <v>338.09523809523807</v>
      </c>
      <c r="I105">
        <f t="shared" si="6"/>
        <v>16.904761904761926</v>
      </c>
      <c r="J105">
        <f t="shared" si="7"/>
        <v>355</v>
      </c>
    </row>
    <row r="106" spans="2:10">
      <c r="B106" t="s">
        <v>68</v>
      </c>
      <c r="C106">
        <v>4219</v>
      </c>
      <c r="D106">
        <v>395</v>
      </c>
      <c r="F106">
        <f t="shared" si="4"/>
        <v>376.19</v>
      </c>
      <c r="H106">
        <f t="shared" si="5"/>
        <v>376.19047619047615</v>
      </c>
      <c r="I106">
        <f t="shared" si="6"/>
        <v>18.809523809523853</v>
      </c>
      <c r="J106">
        <f t="shared" si="7"/>
        <v>395</v>
      </c>
    </row>
    <row r="107" spans="2:10">
      <c r="B107" t="s">
        <v>76</v>
      </c>
      <c r="C107">
        <v>4229</v>
      </c>
      <c r="D107">
        <v>350</v>
      </c>
      <c r="F107">
        <f t="shared" si="4"/>
        <v>333.33</v>
      </c>
      <c r="H107">
        <f t="shared" si="5"/>
        <v>333.33333333333331</v>
      </c>
      <c r="I107">
        <f t="shared" si="6"/>
        <v>16.666666666666686</v>
      </c>
      <c r="J107">
        <f t="shared" si="7"/>
        <v>350</v>
      </c>
    </row>
    <row r="108" spans="2:10">
      <c r="B108" t="s">
        <v>68</v>
      </c>
      <c r="C108">
        <v>4219</v>
      </c>
      <c r="D108">
        <v>395</v>
      </c>
      <c r="F108">
        <f t="shared" si="4"/>
        <v>376.19</v>
      </c>
      <c r="H108">
        <f t="shared" si="5"/>
        <v>376.19047619047615</v>
      </c>
      <c r="I108">
        <f t="shared" si="6"/>
        <v>18.809523809523853</v>
      </c>
      <c r="J108">
        <f t="shared" si="7"/>
        <v>395</v>
      </c>
    </row>
    <row r="109" spans="2:10">
      <c r="B109" t="s">
        <v>35</v>
      </c>
      <c r="C109">
        <v>4236</v>
      </c>
      <c r="D109">
        <v>365</v>
      </c>
      <c r="F109">
        <f t="shared" si="4"/>
        <v>347.62</v>
      </c>
      <c r="H109">
        <f t="shared" si="5"/>
        <v>347.61904761904759</v>
      </c>
      <c r="I109">
        <f t="shared" si="6"/>
        <v>17.380952380952408</v>
      </c>
      <c r="J109">
        <f t="shared" si="7"/>
        <v>365</v>
      </c>
    </row>
    <row r="110" spans="2:10">
      <c r="B110" t="s">
        <v>15</v>
      </c>
      <c r="C110">
        <v>4223</v>
      </c>
      <c r="D110">
        <v>975</v>
      </c>
      <c r="F110">
        <f t="shared" si="4"/>
        <v>928.57</v>
      </c>
      <c r="H110">
        <f t="shared" si="5"/>
        <v>928.57142857142856</v>
      </c>
      <c r="I110">
        <f t="shared" si="6"/>
        <v>46.428571428571445</v>
      </c>
      <c r="J110">
        <f t="shared" si="7"/>
        <v>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J23"/>
  <sheetViews>
    <sheetView workbookViewId="0">
      <selection activeCell="H3" sqref="H3:J3"/>
    </sheetView>
  </sheetViews>
  <sheetFormatPr defaultRowHeight="15"/>
  <cols>
    <col min="1" max="1" width="6.85546875" customWidth="1"/>
    <col min="2" max="2" width="20.42578125" customWidth="1"/>
    <col min="3" max="3" width="10.140625" customWidth="1"/>
    <col min="6" max="6" width="27.140625" customWidth="1"/>
  </cols>
  <sheetData>
    <row r="3" spans="1:10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82</v>
      </c>
      <c r="H3" t="s">
        <v>83</v>
      </c>
      <c r="I3" t="s">
        <v>84</v>
      </c>
      <c r="J3" t="s">
        <v>85</v>
      </c>
    </row>
    <row r="4" spans="1:10">
      <c r="B4" t="s">
        <v>16</v>
      </c>
      <c r="C4">
        <v>4221</v>
      </c>
      <c r="D4">
        <v>675</v>
      </c>
      <c r="F4">
        <f>ROUND(IF(D4&gt;2500, D4/1.18, D4/1.05),2)</f>
        <v>642.86</v>
      </c>
      <c r="H4">
        <f>D4/1.05</f>
        <v>642.85714285714278</v>
      </c>
      <c r="I4">
        <f>D4-H4</f>
        <v>32.142857142857224</v>
      </c>
      <c r="J4">
        <f>H4+I4</f>
        <v>675</v>
      </c>
    </row>
    <row r="5" spans="1:10">
      <c r="B5" t="s">
        <v>35</v>
      </c>
      <c r="C5">
        <v>4236</v>
      </c>
      <c r="D5">
        <v>365</v>
      </c>
      <c r="E5">
        <v>2</v>
      </c>
      <c r="F5">
        <f t="shared" ref="F5:F23" si="0">ROUND(IF(D5&gt;2500, D5/1.18, D5/1.05),2)</f>
        <v>347.62</v>
      </c>
      <c r="H5">
        <f t="shared" ref="H5:H23" si="1">D5/1.05</f>
        <v>347.61904761904759</v>
      </c>
      <c r="I5">
        <f t="shared" ref="I5:I23" si="2">D5-H5</f>
        <v>17.380952380952408</v>
      </c>
      <c r="J5">
        <f t="shared" ref="J5:J23" si="3">H5+I5</f>
        <v>365</v>
      </c>
    </row>
    <row r="6" spans="1:10">
      <c r="B6" t="s">
        <v>16</v>
      </c>
      <c r="C6">
        <v>4230</v>
      </c>
      <c r="D6">
        <v>375</v>
      </c>
      <c r="F6">
        <f t="shared" si="0"/>
        <v>357.14</v>
      </c>
      <c r="H6">
        <f t="shared" si="1"/>
        <v>357.14285714285711</v>
      </c>
      <c r="I6">
        <f t="shared" si="2"/>
        <v>17.85714285714289</v>
      </c>
      <c r="J6">
        <f t="shared" si="3"/>
        <v>375</v>
      </c>
    </row>
    <row r="7" spans="1:10">
      <c r="B7" t="s">
        <v>16</v>
      </c>
      <c r="C7">
        <v>4236</v>
      </c>
      <c r="D7">
        <v>375</v>
      </c>
      <c r="F7">
        <f t="shared" si="0"/>
        <v>357.14</v>
      </c>
      <c r="H7">
        <f t="shared" si="1"/>
        <v>357.14285714285711</v>
      </c>
      <c r="I7">
        <f t="shared" si="2"/>
        <v>17.85714285714289</v>
      </c>
      <c r="J7">
        <f t="shared" si="3"/>
        <v>375</v>
      </c>
    </row>
    <row r="8" spans="1:10">
      <c r="B8" t="s">
        <v>16</v>
      </c>
      <c r="C8">
        <v>4236</v>
      </c>
      <c r="D8">
        <v>365</v>
      </c>
      <c r="F8">
        <f t="shared" si="0"/>
        <v>347.62</v>
      </c>
      <c r="H8">
        <f t="shared" si="1"/>
        <v>347.61904761904759</v>
      </c>
      <c r="I8">
        <f t="shared" si="2"/>
        <v>17.380952380952408</v>
      </c>
      <c r="J8">
        <f t="shared" si="3"/>
        <v>365</v>
      </c>
    </row>
    <row r="9" spans="1:10">
      <c r="B9" t="s">
        <v>16</v>
      </c>
      <c r="C9">
        <v>4219</v>
      </c>
      <c r="D9">
        <v>395</v>
      </c>
      <c r="F9">
        <f t="shared" si="0"/>
        <v>376.19</v>
      </c>
      <c r="H9">
        <f t="shared" si="1"/>
        <v>376.19047619047615</v>
      </c>
      <c r="I9">
        <f t="shared" si="2"/>
        <v>18.809523809523853</v>
      </c>
      <c r="J9">
        <f t="shared" si="3"/>
        <v>395</v>
      </c>
    </row>
    <row r="10" spans="1:10">
      <c r="B10" t="s">
        <v>79</v>
      </c>
      <c r="C10">
        <v>4234</v>
      </c>
      <c r="D10">
        <v>365</v>
      </c>
      <c r="F10">
        <f t="shared" si="0"/>
        <v>347.62</v>
      </c>
      <c r="H10">
        <f t="shared" si="1"/>
        <v>347.61904761904759</v>
      </c>
      <c r="I10">
        <f t="shared" si="2"/>
        <v>17.380952380952408</v>
      </c>
      <c r="J10">
        <f t="shared" si="3"/>
        <v>365</v>
      </c>
    </row>
    <row r="11" spans="1:10">
      <c r="B11" t="s">
        <v>80</v>
      </c>
      <c r="C11">
        <v>4228</v>
      </c>
      <c r="D11">
        <v>350</v>
      </c>
      <c r="F11">
        <f t="shared" si="0"/>
        <v>333.33</v>
      </c>
      <c r="H11">
        <f t="shared" si="1"/>
        <v>333.33333333333331</v>
      </c>
      <c r="I11">
        <f t="shared" si="2"/>
        <v>16.666666666666686</v>
      </c>
      <c r="J11">
        <f t="shared" si="3"/>
        <v>350</v>
      </c>
    </row>
    <row r="12" spans="1:10">
      <c r="B12" t="s">
        <v>35</v>
      </c>
      <c r="C12">
        <v>4236</v>
      </c>
      <c r="D12">
        <v>365</v>
      </c>
      <c r="F12">
        <f t="shared" si="0"/>
        <v>347.62</v>
      </c>
      <c r="H12">
        <f t="shared" si="1"/>
        <v>347.61904761904759</v>
      </c>
      <c r="I12">
        <f t="shared" si="2"/>
        <v>17.380952380952408</v>
      </c>
      <c r="J12">
        <f t="shared" si="3"/>
        <v>365</v>
      </c>
    </row>
    <row r="13" spans="1:10">
      <c r="B13" t="s">
        <v>35</v>
      </c>
      <c r="C13">
        <v>4236</v>
      </c>
      <c r="D13">
        <v>365</v>
      </c>
      <c r="F13">
        <f t="shared" si="0"/>
        <v>347.62</v>
      </c>
      <c r="H13">
        <f t="shared" si="1"/>
        <v>347.61904761904759</v>
      </c>
      <c r="I13">
        <f t="shared" si="2"/>
        <v>17.380952380952408</v>
      </c>
      <c r="J13">
        <f t="shared" si="3"/>
        <v>365</v>
      </c>
    </row>
    <row r="14" spans="1:10">
      <c r="B14" t="s">
        <v>35</v>
      </c>
      <c r="C14">
        <v>4232</v>
      </c>
      <c r="D14">
        <v>355</v>
      </c>
      <c r="F14">
        <f t="shared" si="0"/>
        <v>338.1</v>
      </c>
      <c r="H14">
        <f t="shared" si="1"/>
        <v>338.09523809523807</v>
      </c>
      <c r="I14">
        <f t="shared" si="2"/>
        <v>16.904761904761926</v>
      </c>
      <c r="J14">
        <f t="shared" si="3"/>
        <v>355</v>
      </c>
    </row>
    <row r="15" spans="1:10">
      <c r="B15" t="s">
        <v>15</v>
      </c>
      <c r="C15">
        <v>4223</v>
      </c>
      <c r="D15">
        <v>975</v>
      </c>
      <c r="F15">
        <f t="shared" si="0"/>
        <v>928.57</v>
      </c>
      <c r="H15">
        <f t="shared" si="1"/>
        <v>928.57142857142856</v>
      </c>
      <c r="I15">
        <f t="shared" si="2"/>
        <v>46.428571428571445</v>
      </c>
      <c r="J15">
        <f t="shared" si="3"/>
        <v>975</v>
      </c>
    </row>
    <row r="16" spans="1:10">
      <c r="B16" t="s">
        <v>68</v>
      </c>
      <c r="C16">
        <v>4219</v>
      </c>
      <c r="D16">
        <v>395</v>
      </c>
      <c r="F16">
        <f t="shared" si="0"/>
        <v>376.19</v>
      </c>
      <c r="H16">
        <f t="shared" si="1"/>
        <v>376.19047619047615</v>
      </c>
      <c r="I16">
        <f t="shared" si="2"/>
        <v>18.809523809523853</v>
      </c>
      <c r="J16">
        <f t="shared" si="3"/>
        <v>395</v>
      </c>
    </row>
    <row r="17" spans="2:10">
      <c r="B17" t="s">
        <v>81</v>
      </c>
      <c r="C17">
        <v>601</v>
      </c>
      <c r="D17">
        <v>325</v>
      </c>
      <c r="F17">
        <f t="shared" si="0"/>
        <v>309.52</v>
      </c>
      <c r="H17">
        <f t="shared" si="1"/>
        <v>309.52380952380952</v>
      </c>
      <c r="I17">
        <f t="shared" si="2"/>
        <v>15.476190476190482</v>
      </c>
      <c r="J17">
        <f t="shared" si="3"/>
        <v>325</v>
      </c>
    </row>
    <row r="18" spans="2:10">
      <c r="B18" t="s">
        <v>35</v>
      </c>
      <c r="C18">
        <v>4232</v>
      </c>
      <c r="D18">
        <v>355</v>
      </c>
      <c r="F18">
        <f t="shared" si="0"/>
        <v>338.1</v>
      </c>
      <c r="H18">
        <f t="shared" si="1"/>
        <v>338.09523809523807</v>
      </c>
      <c r="I18">
        <f t="shared" si="2"/>
        <v>16.904761904761926</v>
      </c>
      <c r="J18">
        <f t="shared" si="3"/>
        <v>355</v>
      </c>
    </row>
    <row r="19" spans="2:10">
      <c r="B19" t="s">
        <v>16</v>
      </c>
      <c r="C19">
        <v>990</v>
      </c>
      <c r="D19">
        <v>305</v>
      </c>
      <c r="F19">
        <f t="shared" si="0"/>
        <v>290.48</v>
      </c>
      <c r="H19">
        <f t="shared" si="1"/>
        <v>290.47619047619048</v>
      </c>
      <c r="I19">
        <f t="shared" si="2"/>
        <v>14.523809523809518</v>
      </c>
      <c r="J19">
        <f t="shared" si="3"/>
        <v>305</v>
      </c>
    </row>
    <row r="20" spans="2:10">
      <c r="B20" t="s">
        <v>35</v>
      </c>
      <c r="C20">
        <v>4236</v>
      </c>
      <c r="D20">
        <v>365</v>
      </c>
      <c r="F20">
        <f t="shared" si="0"/>
        <v>347.62</v>
      </c>
      <c r="H20">
        <f t="shared" si="1"/>
        <v>347.61904761904759</v>
      </c>
      <c r="I20">
        <f t="shared" si="2"/>
        <v>17.380952380952408</v>
      </c>
      <c r="J20">
        <f t="shared" si="3"/>
        <v>365</v>
      </c>
    </row>
    <row r="21" spans="2:10">
      <c r="B21" t="s">
        <v>16</v>
      </c>
      <c r="C21">
        <v>4235</v>
      </c>
      <c r="D21">
        <v>350</v>
      </c>
      <c r="F21">
        <f t="shared" si="0"/>
        <v>333.33</v>
      </c>
      <c r="H21">
        <f t="shared" si="1"/>
        <v>333.33333333333331</v>
      </c>
      <c r="I21">
        <f t="shared" si="2"/>
        <v>16.666666666666686</v>
      </c>
      <c r="J21">
        <f t="shared" si="3"/>
        <v>350</v>
      </c>
    </row>
    <row r="22" spans="2:10">
      <c r="B22" t="s">
        <v>68</v>
      </c>
      <c r="C22">
        <v>4219</v>
      </c>
      <c r="D22">
        <v>395</v>
      </c>
      <c r="F22">
        <f t="shared" si="0"/>
        <v>376.19</v>
      </c>
      <c r="H22">
        <f t="shared" si="1"/>
        <v>376.19047619047615</v>
      </c>
      <c r="I22">
        <f t="shared" si="2"/>
        <v>18.809523809523853</v>
      </c>
      <c r="J22">
        <f t="shared" si="3"/>
        <v>395</v>
      </c>
    </row>
    <row r="23" spans="2:10">
      <c r="B23" t="s">
        <v>35</v>
      </c>
      <c r="C23">
        <v>4224</v>
      </c>
      <c r="D23">
        <v>595</v>
      </c>
      <c r="F23">
        <f t="shared" si="0"/>
        <v>566.66999999999996</v>
      </c>
      <c r="H23">
        <f t="shared" si="1"/>
        <v>566.66666666666663</v>
      </c>
      <c r="I23">
        <f t="shared" si="2"/>
        <v>28.333333333333371</v>
      </c>
      <c r="J23">
        <f t="shared" si="3"/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</dc:creator>
  <cp:lastModifiedBy>system1</cp:lastModifiedBy>
  <dcterms:created xsi:type="dcterms:W3CDTF">2015-06-05T18:17:20Z</dcterms:created>
  <dcterms:modified xsi:type="dcterms:W3CDTF">2026-04-04T08:02:36Z</dcterms:modified>
</cp:coreProperties>
</file>