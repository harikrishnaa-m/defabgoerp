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QMark\defab_erp_backend\internal\migration\Defab Thrippunithura\"/>
    </mc:Choice>
  </mc:AlternateContent>
  <xr:revisionPtr revIDLastSave="0" documentId="13_ncr:1_{B71459EA-133D-4E50-BD1D-443AC29BB39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 l ku" sheetId="1" r:id="rId1"/>
    <sheet name=" Al ku 2" sheetId="3" r:id="rId2"/>
    <sheet name="Cord Set" sheetId="5" r:id="rId3"/>
    <sheet name="Kurthis" sheetId="2" r:id="rId4"/>
    <sheet name="Anarkali" sheetId="4" r:id="rId5"/>
    <sheet name="Lehanga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I3" i="1"/>
  <c r="J3" i="1" s="1"/>
  <c r="H4" i="1"/>
  <c r="I4" i="1" s="1"/>
  <c r="J4" i="1" s="1"/>
  <c r="H5" i="1"/>
  <c r="I5" i="1"/>
  <c r="J5" i="1" s="1"/>
  <c r="H6" i="1"/>
  <c r="I6" i="1" s="1"/>
  <c r="J6" i="1" s="1"/>
  <c r="H7" i="1"/>
  <c r="I7" i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/>
  <c r="J19" i="1" s="1"/>
  <c r="H20" i="1"/>
  <c r="I20" i="1" s="1"/>
  <c r="J20" i="1" s="1"/>
  <c r="H21" i="1"/>
  <c r="I21" i="1"/>
  <c r="J21" i="1" s="1"/>
  <c r="H22" i="1"/>
  <c r="I22" i="1" s="1"/>
  <c r="J22" i="1" s="1"/>
  <c r="H23" i="1"/>
  <c r="I23" i="1"/>
  <c r="J23" i="1" s="1"/>
  <c r="H24" i="1"/>
  <c r="I24" i="1" s="1"/>
  <c r="J24" i="1" s="1"/>
  <c r="H25" i="1"/>
  <c r="I25" i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/>
  <c r="J35" i="1" s="1"/>
  <c r="H36" i="1"/>
  <c r="I36" i="1" s="1"/>
  <c r="J36" i="1" s="1"/>
  <c r="H37" i="1"/>
  <c r="I37" i="1"/>
  <c r="J37" i="1" s="1"/>
  <c r="H38" i="1"/>
  <c r="I38" i="1" s="1"/>
  <c r="J38" i="1" s="1"/>
  <c r="H39" i="1"/>
  <c r="I39" i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/>
  <c r="J51" i="1" s="1"/>
  <c r="H52" i="1"/>
  <c r="I52" i="1" s="1"/>
  <c r="J52" i="1" s="1"/>
  <c r="H53" i="1"/>
  <c r="I53" i="1"/>
  <c r="J53" i="1" s="1"/>
  <c r="H54" i="1"/>
  <c r="I54" i="1" s="1"/>
  <c r="J54" i="1" s="1"/>
  <c r="H55" i="1"/>
  <c r="I55" i="1"/>
  <c r="J55" i="1" s="1"/>
  <c r="H56" i="1"/>
  <c r="I56" i="1" s="1"/>
  <c r="J56" i="1" s="1"/>
  <c r="H57" i="1"/>
  <c r="I57" i="1"/>
  <c r="J57" i="1" s="1"/>
  <c r="H58" i="1"/>
  <c r="I58" i="1" s="1"/>
  <c r="J58" i="1" s="1"/>
  <c r="H59" i="1"/>
  <c r="I59" i="1" s="1"/>
  <c r="J59" i="1" s="1"/>
  <c r="H60" i="1"/>
  <c r="I60" i="1" s="1"/>
  <c r="J60" i="1" s="1"/>
  <c r="H61" i="1"/>
  <c r="I61" i="1" s="1"/>
  <c r="J61" i="1" s="1"/>
  <c r="H62" i="1"/>
  <c r="I62" i="1" s="1"/>
  <c r="J62" i="1" s="1"/>
  <c r="H63" i="1"/>
  <c r="I63" i="1"/>
  <c r="J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69" i="1"/>
  <c r="I69" i="1"/>
  <c r="J69" i="1" s="1"/>
  <c r="H70" i="1"/>
  <c r="I70" i="1" s="1"/>
  <c r="J70" i="1" s="1"/>
  <c r="H71" i="1"/>
  <c r="I71" i="1"/>
  <c r="J71" i="1" s="1"/>
  <c r="H72" i="1"/>
  <c r="I72" i="1" s="1"/>
  <c r="J72" i="1" s="1"/>
  <c r="H73" i="1"/>
  <c r="I73" i="1" s="1"/>
  <c r="J73" i="1" s="1"/>
  <c r="H74" i="1"/>
  <c r="I74" i="1" s="1"/>
  <c r="J74" i="1" s="1"/>
  <c r="H75" i="1"/>
  <c r="I75" i="1"/>
  <c r="J75" i="1" s="1"/>
  <c r="H76" i="1"/>
  <c r="I76" i="1" s="1"/>
  <c r="J76" i="1" s="1"/>
  <c r="H77" i="1"/>
  <c r="I77" i="1" s="1"/>
  <c r="J77" i="1" s="1"/>
  <c r="H78" i="1"/>
  <c r="I78" i="1" s="1"/>
  <c r="J78" i="1" s="1"/>
  <c r="H79" i="1"/>
  <c r="I79" i="1" s="1"/>
  <c r="J79" i="1" s="1"/>
  <c r="H80" i="1"/>
  <c r="I80" i="1" s="1"/>
  <c r="J80" i="1" s="1"/>
  <c r="H81" i="1"/>
  <c r="I81" i="1" s="1"/>
  <c r="J81" i="1" s="1"/>
  <c r="H82" i="1"/>
  <c r="I82" i="1" s="1"/>
  <c r="J82" i="1" s="1"/>
  <c r="H83" i="1"/>
  <c r="I83" i="1"/>
  <c r="J83" i="1" s="1"/>
  <c r="H84" i="1"/>
  <c r="I84" i="1" s="1"/>
  <c r="J84" i="1" s="1"/>
  <c r="H85" i="1"/>
  <c r="I85" i="1"/>
  <c r="J85" i="1" s="1"/>
  <c r="H86" i="1"/>
  <c r="I86" i="1" s="1"/>
  <c r="J86" i="1" s="1"/>
  <c r="H87" i="1"/>
  <c r="I87" i="1"/>
  <c r="J87" i="1" s="1"/>
  <c r="H88" i="1"/>
  <c r="I88" i="1" s="1"/>
  <c r="J88" i="1" s="1"/>
  <c r="H89" i="1"/>
  <c r="I89" i="1"/>
  <c r="J89" i="1" s="1"/>
  <c r="H90" i="1"/>
  <c r="I90" i="1" s="1"/>
  <c r="J90" i="1" s="1"/>
  <c r="H91" i="1"/>
  <c r="I91" i="1" s="1"/>
  <c r="J91" i="1" s="1"/>
  <c r="H92" i="1"/>
  <c r="I92" i="1" s="1"/>
  <c r="J92" i="1" s="1"/>
  <c r="H93" i="1"/>
  <c r="I93" i="1" s="1"/>
  <c r="J93" i="1" s="1"/>
  <c r="H94" i="1"/>
  <c r="I94" i="1" s="1"/>
  <c r="J94" i="1" s="1"/>
  <c r="H95" i="1"/>
  <c r="I95" i="1"/>
  <c r="J95" i="1" s="1"/>
  <c r="H96" i="1"/>
  <c r="I96" i="1" s="1"/>
  <c r="J96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/>
  <c r="J101" i="1" s="1"/>
  <c r="H2" i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2" i="3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J28" i="5" s="1"/>
  <c r="I28" i="5"/>
  <c r="H29" i="5"/>
  <c r="I29" i="5"/>
  <c r="H30" i="5"/>
  <c r="J30" i="5" s="1"/>
  <c r="I30" i="5"/>
  <c r="H31" i="5"/>
  <c r="H32" i="5"/>
  <c r="H33" i="5"/>
  <c r="H34" i="5"/>
  <c r="H35" i="5"/>
  <c r="H36" i="5"/>
  <c r="H37" i="5"/>
  <c r="I37" i="5"/>
  <c r="H38" i="5"/>
  <c r="J38" i="5" s="1"/>
  <c r="I38" i="5"/>
  <c r="H39" i="5"/>
  <c r="I39" i="5"/>
  <c r="H40" i="5"/>
  <c r="H41" i="5"/>
  <c r="H42" i="5"/>
  <c r="H43" i="5"/>
  <c r="I43" i="5"/>
  <c r="H44" i="5"/>
  <c r="H45" i="5"/>
  <c r="H46" i="5"/>
  <c r="H2" i="5"/>
  <c r="H50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2" i="2"/>
  <c r="F2" i="2"/>
  <c r="I2" i="2" s="1"/>
  <c r="H17" i="4"/>
  <c r="I17" i="4" s="1"/>
  <c r="J17" i="4" s="1"/>
  <c r="F17" i="4"/>
  <c r="H16" i="4"/>
  <c r="I16" i="4" s="1"/>
  <c r="H15" i="4"/>
  <c r="I15" i="4" s="1"/>
  <c r="J15" i="4" s="1"/>
  <c r="H9" i="4"/>
  <c r="I9" i="4"/>
  <c r="J9" i="4" s="1"/>
  <c r="H10" i="4"/>
  <c r="I10" i="4"/>
  <c r="J10" i="4" s="1"/>
  <c r="H8" i="4"/>
  <c r="I8" i="4"/>
  <c r="H7" i="4"/>
  <c r="H4" i="4"/>
  <c r="I4" i="4" s="1"/>
  <c r="F7" i="4"/>
  <c r="H3" i="4"/>
  <c r="I3" i="4"/>
  <c r="J3" i="4" s="1"/>
  <c r="H5" i="4"/>
  <c r="I5" i="4"/>
  <c r="J5" i="4" s="1"/>
  <c r="H6" i="4"/>
  <c r="I6" i="4" s="1"/>
  <c r="J6" i="4" s="1"/>
  <c r="I7" i="4"/>
  <c r="J7" i="4" s="1"/>
  <c r="J8" i="4"/>
  <c r="H11" i="4"/>
  <c r="I11" i="4" s="1"/>
  <c r="J11" i="4" s="1"/>
  <c r="H12" i="4"/>
  <c r="I12" i="4" s="1"/>
  <c r="J12" i="4" s="1"/>
  <c r="H13" i="4"/>
  <c r="I13" i="4"/>
  <c r="J13" i="4" s="1"/>
  <c r="H14" i="4"/>
  <c r="I14" i="4" s="1"/>
  <c r="J14" i="4" s="1"/>
  <c r="H18" i="4"/>
  <c r="I18" i="4" s="1"/>
  <c r="J18" i="4" s="1"/>
  <c r="H2" i="4"/>
  <c r="J2" i="2" l="1"/>
  <c r="J43" i="5"/>
  <c r="J29" i="5"/>
  <c r="J4" i="4"/>
  <c r="J39" i="5"/>
  <c r="I2" i="1"/>
  <c r="J2" i="1" s="1"/>
  <c r="I2" i="4"/>
  <c r="J2" i="4" s="1"/>
  <c r="J37" i="5"/>
  <c r="J16" i="4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50" i="6"/>
  <c r="H37" i="6"/>
  <c r="H38" i="6"/>
  <c r="H39" i="6"/>
  <c r="H40" i="6"/>
  <c r="H41" i="6"/>
  <c r="H42" i="6"/>
  <c r="H43" i="6"/>
  <c r="H44" i="6"/>
  <c r="H45" i="6"/>
  <c r="H46" i="6"/>
  <c r="H47" i="6"/>
  <c r="H36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4" i="6"/>
  <c r="H3" i="6"/>
  <c r="J4" i="6" l="1"/>
  <c r="J16" i="6"/>
  <c r="J100" i="6"/>
  <c r="J68" i="6"/>
  <c r="J21" i="6"/>
  <c r="J5" i="6"/>
  <c r="J20" i="6"/>
  <c r="F108" i="6"/>
  <c r="I108" i="6" s="1"/>
  <c r="J108" i="6" s="1"/>
  <c r="F109" i="6"/>
  <c r="I109" i="6" s="1"/>
  <c r="J109" i="6" s="1"/>
  <c r="F4" i="6"/>
  <c r="I4" i="6" s="1"/>
  <c r="F5" i="6"/>
  <c r="I5" i="6" s="1"/>
  <c r="F6" i="6"/>
  <c r="I6" i="6" s="1"/>
  <c r="J6" i="6" s="1"/>
  <c r="F7" i="6"/>
  <c r="I7" i="6" s="1"/>
  <c r="J7" i="6" s="1"/>
  <c r="F8" i="6"/>
  <c r="I8" i="6" s="1"/>
  <c r="J8" i="6" s="1"/>
  <c r="F9" i="6"/>
  <c r="I9" i="6" s="1"/>
  <c r="J9" i="6" s="1"/>
  <c r="F10" i="6"/>
  <c r="I10" i="6" s="1"/>
  <c r="J10" i="6" s="1"/>
  <c r="F11" i="6"/>
  <c r="I11" i="6" s="1"/>
  <c r="J11" i="6" s="1"/>
  <c r="F12" i="6"/>
  <c r="I12" i="6" s="1"/>
  <c r="J12" i="6" s="1"/>
  <c r="F13" i="6"/>
  <c r="I13" i="6" s="1"/>
  <c r="J13" i="6" s="1"/>
  <c r="F14" i="6"/>
  <c r="I14" i="6" s="1"/>
  <c r="J14" i="6" s="1"/>
  <c r="F15" i="6"/>
  <c r="I15" i="6" s="1"/>
  <c r="J15" i="6" s="1"/>
  <c r="F16" i="6"/>
  <c r="I16" i="6" s="1"/>
  <c r="F17" i="6"/>
  <c r="I17" i="6" s="1"/>
  <c r="J17" i="6" s="1"/>
  <c r="F18" i="6"/>
  <c r="I18" i="6" s="1"/>
  <c r="J18" i="6" s="1"/>
  <c r="F19" i="6"/>
  <c r="I19" i="6" s="1"/>
  <c r="J19" i="6" s="1"/>
  <c r="F20" i="6"/>
  <c r="I20" i="6" s="1"/>
  <c r="F21" i="6"/>
  <c r="I21" i="6" s="1"/>
  <c r="F22" i="6"/>
  <c r="I22" i="6" s="1"/>
  <c r="J22" i="6" s="1"/>
  <c r="F23" i="6"/>
  <c r="I23" i="6" s="1"/>
  <c r="J23" i="6" s="1"/>
  <c r="F24" i="6"/>
  <c r="I24" i="6" s="1"/>
  <c r="J24" i="6" s="1"/>
  <c r="F25" i="6"/>
  <c r="I25" i="6" s="1"/>
  <c r="J25" i="6" s="1"/>
  <c r="F26" i="6"/>
  <c r="I26" i="6" s="1"/>
  <c r="J26" i="6" s="1"/>
  <c r="F27" i="6"/>
  <c r="I27" i="6" s="1"/>
  <c r="J27" i="6" s="1"/>
  <c r="F28" i="6"/>
  <c r="I28" i="6" s="1"/>
  <c r="J28" i="6" s="1"/>
  <c r="F29" i="6"/>
  <c r="I29" i="6" s="1"/>
  <c r="J29" i="6" s="1"/>
  <c r="F30" i="6"/>
  <c r="I30" i="6" s="1"/>
  <c r="J30" i="6" s="1"/>
  <c r="F31" i="6"/>
  <c r="I31" i="6" s="1"/>
  <c r="J31" i="6" s="1"/>
  <c r="F32" i="6"/>
  <c r="I32" i="6" s="1"/>
  <c r="J32" i="6" s="1"/>
  <c r="F36" i="6"/>
  <c r="I36" i="6" s="1"/>
  <c r="J36" i="6" s="1"/>
  <c r="F37" i="6"/>
  <c r="I37" i="6" s="1"/>
  <c r="J37" i="6" s="1"/>
  <c r="F38" i="6"/>
  <c r="I38" i="6" s="1"/>
  <c r="J38" i="6" s="1"/>
  <c r="F39" i="6"/>
  <c r="I39" i="6" s="1"/>
  <c r="J39" i="6" s="1"/>
  <c r="F40" i="6"/>
  <c r="I40" i="6" s="1"/>
  <c r="J40" i="6" s="1"/>
  <c r="F41" i="6"/>
  <c r="I41" i="6" s="1"/>
  <c r="J41" i="6" s="1"/>
  <c r="F42" i="6"/>
  <c r="I42" i="6" s="1"/>
  <c r="J42" i="6" s="1"/>
  <c r="F43" i="6"/>
  <c r="I43" i="6" s="1"/>
  <c r="J43" i="6" s="1"/>
  <c r="F44" i="6"/>
  <c r="I44" i="6" s="1"/>
  <c r="J44" i="6" s="1"/>
  <c r="F45" i="6"/>
  <c r="I45" i="6" s="1"/>
  <c r="J45" i="6" s="1"/>
  <c r="F46" i="6"/>
  <c r="I46" i="6" s="1"/>
  <c r="J46" i="6" s="1"/>
  <c r="F47" i="6"/>
  <c r="I47" i="6" s="1"/>
  <c r="J47" i="6" s="1"/>
  <c r="F50" i="6"/>
  <c r="I50" i="6" s="1"/>
  <c r="J50" i="6" s="1"/>
  <c r="F51" i="6"/>
  <c r="I51" i="6" s="1"/>
  <c r="J51" i="6" s="1"/>
  <c r="F52" i="6"/>
  <c r="I52" i="6" s="1"/>
  <c r="J52" i="6" s="1"/>
  <c r="F53" i="6"/>
  <c r="I53" i="6" s="1"/>
  <c r="J53" i="6" s="1"/>
  <c r="F54" i="6"/>
  <c r="I54" i="6" s="1"/>
  <c r="J54" i="6" s="1"/>
  <c r="F55" i="6"/>
  <c r="I55" i="6" s="1"/>
  <c r="J55" i="6" s="1"/>
  <c r="F56" i="6"/>
  <c r="I56" i="6" s="1"/>
  <c r="J56" i="6" s="1"/>
  <c r="F57" i="6"/>
  <c r="I57" i="6" s="1"/>
  <c r="J57" i="6" s="1"/>
  <c r="F58" i="6"/>
  <c r="I58" i="6" s="1"/>
  <c r="J58" i="6" s="1"/>
  <c r="F59" i="6"/>
  <c r="I59" i="6" s="1"/>
  <c r="J59" i="6" s="1"/>
  <c r="F60" i="6"/>
  <c r="I60" i="6" s="1"/>
  <c r="J60" i="6" s="1"/>
  <c r="F61" i="6"/>
  <c r="I61" i="6" s="1"/>
  <c r="J61" i="6" s="1"/>
  <c r="F62" i="6"/>
  <c r="I62" i="6" s="1"/>
  <c r="J62" i="6" s="1"/>
  <c r="F63" i="6"/>
  <c r="I63" i="6" s="1"/>
  <c r="J63" i="6" s="1"/>
  <c r="F64" i="6"/>
  <c r="I64" i="6" s="1"/>
  <c r="J64" i="6" s="1"/>
  <c r="F65" i="6"/>
  <c r="I65" i="6" s="1"/>
  <c r="J65" i="6" s="1"/>
  <c r="F66" i="6"/>
  <c r="I66" i="6" s="1"/>
  <c r="J66" i="6" s="1"/>
  <c r="F67" i="6"/>
  <c r="I67" i="6" s="1"/>
  <c r="J67" i="6" s="1"/>
  <c r="F68" i="6"/>
  <c r="I68" i="6" s="1"/>
  <c r="F69" i="6"/>
  <c r="I69" i="6" s="1"/>
  <c r="J69" i="6" s="1"/>
  <c r="F70" i="6"/>
  <c r="I70" i="6" s="1"/>
  <c r="J70" i="6" s="1"/>
  <c r="F71" i="6"/>
  <c r="I71" i="6" s="1"/>
  <c r="J71" i="6" s="1"/>
  <c r="F72" i="6"/>
  <c r="I72" i="6" s="1"/>
  <c r="J72" i="6" s="1"/>
  <c r="F73" i="6"/>
  <c r="I73" i="6" s="1"/>
  <c r="J73" i="6" s="1"/>
  <c r="F74" i="6"/>
  <c r="I74" i="6" s="1"/>
  <c r="J74" i="6" s="1"/>
  <c r="F75" i="6"/>
  <c r="I75" i="6" s="1"/>
  <c r="J75" i="6" s="1"/>
  <c r="F76" i="6"/>
  <c r="I76" i="6" s="1"/>
  <c r="J76" i="6" s="1"/>
  <c r="F77" i="6"/>
  <c r="I77" i="6" s="1"/>
  <c r="J77" i="6" s="1"/>
  <c r="F78" i="6"/>
  <c r="I78" i="6" s="1"/>
  <c r="J78" i="6" s="1"/>
  <c r="F79" i="6"/>
  <c r="I79" i="6" s="1"/>
  <c r="J79" i="6" s="1"/>
  <c r="F80" i="6"/>
  <c r="I80" i="6" s="1"/>
  <c r="J80" i="6" s="1"/>
  <c r="F81" i="6"/>
  <c r="I81" i="6" s="1"/>
  <c r="J81" i="6" s="1"/>
  <c r="F82" i="6"/>
  <c r="I82" i="6" s="1"/>
  <c r="J82" i="6" s="1"/>
  <c r="F83" i="6"/>
  <c r="I83" i="6" s="1"/>
  <c r="J83" i="6" s="1"/>
  <c r="F84" i="6"/>
  <c r="I84" i="6" s="1"/>
  <c r="J84" i="6" s="1"/>
  <c r="F85" i="6"/>
  <c r="I85" i="6" s="1"/>
  <c r="J85" i="6" s="1"/>
  <c r="F86" i="6"/>
  <c r="I86" i="6" s="1"/>
  <c r="J86" i="6" s="1"/>
  <c r="F87" i="6"/>
  <c r="I87" i="6" s="1"/>
  <c r="J87" i="6" s="1"/>
  <c r="F88" i="6"/>
  <c r="I88" i="6" s="1"/>
  <c r="J88" i="6" s="1"/>
  <c r="F89" i="6"/>
  <c r="I89" i="6" s="1"/>
  <c r="J89" i="6" s="1"/>
  <c r="F90" i="6"/>
  <c r="I90" i="6" s="1"/>
  <c r="J90" i="6" s="1"/>
  <c r="F91" i="6"/>
  <c r="I91" i="6" s="1"/>
  <c r="J91" i="6" s="1"/>
  <c r="F92" i="6"/>
  <c r="I92" i="6" s="1"/>
  <c r="J92" i="6" s="1"/>
  <c r="F93" i="6"/>
  <c r="I93" i="6" s="1"/>
  <c r="J93" i="6" s="1"/>
  <c r="F94" i="6"/>
  <c r="I94" i="6" s="1"/>
  <c r="J94" i="6" s="1"/>
  <c r="F95" i="6"/>
  <c r="I95" i="6" s="1"/>
  <c r="J95" i="6" s="1"/>
  <c r="F96" i="6"/>
  <c r="I96" i="6" s="1"/>
  <c r="J96" i="6" s="1"/>
  <c r="F97" i="6"/>
  <c r="I97" i="6" s="1"/>
  <c r="J97" i="6" s="1"/>
  <c r="F98" i="6"/>
  <c r="I98" i="6" s="1"/>
  <c r="J98" i="6" s="1"/>
  <c r="F99" i="6"/>
  <c r="I99" i="6" s="1"/>
  <c r="J99" i="6" s="1"/>
  <c r="F100" i="6"/>
  <c r="I100" i="6" s="1"/>
  <c r="F101" i="6"/>
  <c r="I101" i="6" s="1"/>
  <c r="J101" i="6" s="1"/>
  <c r="F102" i="6"/>
  <c r="I102" i="6" s="1"/>
  <c r="J102" i="6" s="1"/>
  <c r="F103" i="6"/>
  <c r="I103" i="6" s="1"/>
  <c r="J103" i="6" s="1"/>
  <c r="F104" i="6"/>
  <c r="I104" i="6" s="1"/>
  <c r="J104" i="6" s="1"/>
  <c r="F105" i="6"/>
  <c r="I105" i="6" s="1"/>
  <c r="J105" i="6" s="1"/>
  <c r="F106" i="6"/>
  <c r="I106" i="6" s="1"/>
  <c r="J106" i="6" s="1"/>
  <c r="F107" i="6"/>
  <c r="I107" i="6" s="1"/>
  <c r="J107" i="6" s="1"/>
  <c r="F3" i="6"/>
  <c r="I3" i="6" s="1"/>
  <c r="J3" i="6" s="1"/>
  <c r="F3" i="4"/>
  <c r="F4" i="4"/>
  <c r="F5" i="4"/>
  <c r="F6" i="4"/>
  <c r="F8" i="4"/>
  <c r="F9" i="4"/>
  <c r="F10" i="4"/>
  <c r="F11" i="4"/>
  <c r="F12" i="4"/>
  <c r="F13" i="4"/>
  <c r="F14" i="4"/>
  <c r="F15" i="4"/>
  <c r="F16" i="4"/>
  <c r="F18" i="4"/>
  <c r="F2" i="4"/>
  <c r="F3" i="2"/>
  <c r="I3" i="2" s="1"/>
  <c r="J3" i="2" s="1"/>
  <c r="F4" i="2"/>
  <c r="I4" i="2" s="1"/>
  <c r="J4" i="2" s="1"/>
  <c r="F5" i="2"/>
  <c r="I5" i="2" s="1"/>
  <c r="J5" i="2" s="1"/>
  <c r="F6" i="2"/>
  <c r="I6" i="2" s="1"/>
  <c r="J6" i="2" s="1"/>
  <c r="F7" i="2"/>
  <c r="I7" i="2" s="1"/>
  <c r="J7" i="2" s="1"/>
  <c r="F8" i="2"/>
  <c r="I8" i="2" s="1"/>
  <c r="J8" i="2" s="1"/>
  <c r="F9" i="2"/>
  <c r="I9" i="2" s="1"/>
  <c r="J9" i="2" s="1"/>
  <c r="F10" i="2"/>
  <c r="I10" i="2" s="1"/>
  <c r="J10" i="2" s="1"/>
  <c r="F11" i="2"/>
  <c r="I11" i="2" s="1"/>
  <c r="J11" i="2" s="1"/>
  <c r="F12" i="2"/>
  <c r="I12" i="2" s="1"/>
  <c r="J12" i="2" s="1"/>
  <c r="F13" i="2"/>
  <c r="I13" i="2" s="1"/>
  <c r="J13" i="2" s="1"/>
  <c r="F14" i="2"/>
  <c r="I14" i="2" s="1"/>
  <c r="J14" i="2" s="1"/>
  <c r="F15" i="2"/>
  <c r="I15" i="2" s="1"/>
  <c r="J15" i="2" s="1"/>
  <c r="F16" i="2"/>
  <c r="I16" i="2" s="1"/>
  <c r="J16" i="2" s="1"/>
  <c r="F17" i="2"/>
  <c r="I17" i="2" s="1"/>
  <c r="J17" i="2" s="1"/>
  <c r="F18" i="2"/>
  <c r="I18" i="2" s="1"/>
  <c r="J18" i="2" s="1"/>
  <c r="F19" i="2"/>
  <c r="I19" i="2" s="1"/>
  <c r="J19" i="2" s="1"/>
  <c r="F20" i="2"/>
  <c r="I20" i="2" s="1"/>
  <c r="J20" i="2" s="1"/>
  <c r="F21" i="2"/>
  <c r="I21" i="2" s="1"/>
  <c r="J21" i="2" s="1"/>
  <c r="F22" i="2"/>
  <c r="I22" i="2" s="1"/>
  <c r="J22" i="2" s="1"/>
  <c r="F23" i="2"/>
  <c r="I23" i="2" s="1"/>
  <c r="J23" i="2" s="1"/>
  <c r="F24" i="2"/>
  <c r="I24" i="2" s="1"/>
  <c r="J24" i="2" s="1"/>
  <c r="F25" i="2"/>
  <c r="I25" i="2" s="1"/>
  <c r="J25" i="2" s="1"/>
  <c r="F26" i="2"/>
  <c r="I26" i="2" s="1"/>
  <c r="J26" i="2" s="1"/>
  <c r="F27" i="2"/>
  <c r="I27" i="2" s="1"/>
  <c r="J27" i="2" s="1"/>
  <c r="F28" i="2"/>
  <c r="I28" i="2" s="1"/>
  <c r="J28" i="2" s="1"/>
  <c r="F29" i="2"/>
  <c r="I29" i="2" s="1"/>
  <c r="J29" i="2" s="1"/>
  <c r="F30" i="2"/>
  <c r="I30" i="2" s="1"/>
  <c r="J30" i="2" s="1"/>
  <c r="F31" i="2"/>
  <c r="I31" i="2" s="1"/>
  <c r="J31" i="2" s="1"/>
  <c r="F32" i="2"/>
  <c r="I32" i="2" s="1"/>
  <c r="J32" i="2" s="1"/>
  <c r="F33" i="2"/>
  <c r="I33" i="2" s="1"/>
  <c r="J33" i="2" s="1"/>
  <c r="F34" i="2"/>
  <c r="I34" i="2" s="1"/>
  <c r="J34" i="2" s="1"/>
  <c r="F35" i="2"/>
  <c r="I35" i="2" s="1"/>
  <c r="J35" i="2" s="1"/>
  <c r="F36" i="2"/>
  <c r="I36" i="2" s="1"/>
  <c r="J36" i="2" s="1"/>
  <c r="F37" i="2"/>
  <c r="I37" i="2" s="1"/>
  <c r="J37" i="2" s="1"/>
  <c r="F38" i="2"/>
  <c r="I38" i="2" s="1"/>
  <c r="J38" i="2" s="1"/>
  <c r="F39" i="2"/>
  <c r="I39" i="2" s="1"/>
  <c r="J39" i="2" s="1"/>
  <c r="F40" i="2"/>
  <c r="I40" i="2" s="1"/>
  <c r="J40" i="2" s="1"/>
  <c r="F41" i="2"/>
  <c r="I41" i="2" s="1"/>
  <c r="J41" i="2" s="1"/>
  <c r="F42" i="2"/>
  <c r="I42" i="2" s="1"/>
  <c r="J42" i="2" s="1"/>
  <c r="F43" i="2"/>
  <c r="I43" i="2" s="1"/>
  <c r="J43" i="2" s="1"/>
  <c r="F44" i="2"/>
  <c r="I44" i="2" s="1"/>
  <c r="J44" i="2" s="1"/>
  <c r="F45" i="2"/>
  <c r="I45" i="2" s="1"/>
  <c r="J45" i="2" s="1"/>
  <c r="F46" i="2"/>
  <c r="I46" i="2" s="1"/>
  <c r="J46" i="2" s="1"/>
  <c r="F47" i="2"/>
  <c r="I47" i="2" s="1"/>
  <c r="J47" i="2" s="1"/>
  <c r="F48" i="2"/>
  <c r="I48" i="2" s="1"/>
  <c r="J48" i="2" s="1"/>
  <c r="F49" i="2"/>
  <c r="I49" i="2" s="1"/>
  <c r="J49" i="2" s="1"/>
  <c r="F50" i="2"/>
  <c r="I50" i="2" s="1"/>
  <c r="J50" i="2" s="1"/>
  <c r="F51" i="2"/>
  <c r="I51" i="2" s="1"/>
  <c r="J51" i="2" s="1"/>
  <c r="F52" i="2"/>
  <c r="I52" i="2" s="1"/>
  <c r="J52" i="2" s="1"/>
  <c r="F53" i="2"/>
  <c r="I53" i="2" s="1"/>
  <c r="J53" i="2" s="1"/>
  <c r="F54" i="2"/>
  <c r="I54" i="2" s="1"/>
  <c r="J54" i="2" s="1"/>
  <c r="F55" i="2"/>
  <c r="I55" i="2" s="1"/>
  <c r="J55" i="2" s="1"/>
  <c r="F56" i="2"/>
  <c r="I56" i="2" s="1"/>
  <c r="J56" i="2" s="1"/>
  <c r="F57" i="2"/>
  <c r="I57" i="2" s="1"/>
  <c r="J57" i="2" s="1"/>
  <c r="F58" i="2"/>
  <c r="I58" i="2" s="1"/>
  <c r="J58" i="2" s="1"/>
  <c r="F59" i="2"/>
  <c r="I59" i="2" s="1"/>
  <c r="J59" i="2" s="1"/>
  <c r="F60" i="2"/>
  <c r="I60" i="2" s="1"/>
  <c r="J60" i="2" s="1"/>
  <c r="F61" i="2"/>
  <c r="I61" i="2" s="1"/>
  <c r="J61" i="2" s="1"/>
  <c r="F62" i="2"/>
  <c r="I62" i="2" s="1"/>
  <c r="J62" i="2" s="1"/>
  <c r="F63" i="2"/>
  <c r="I63" i="2" s="1"/>
  <c r="J63" i="2" s="1"/>
  <c r="F64" i="2"/>
  <c r="I64" i="2" s="1"/>
  <c r="J64" i="2" s="1"/>
  <c r="F65" i="2"/>
  <c r="I65" i="2" s="1"/>
  <c r="J65" i="2" s="1"/>
  <c r="F66" i="2"/>
  <c r="I66" i="2" s="1"/>
  <c r="J66" i="2" s="1"/>
  <c r="F67" i="2"/>
  <c r="I67" i="2" s="1"/>
  <c r="J67" i="2" s="1"/>
  <c r="F68" i="2"/>
  <c r="I68" i="2" s="1"/>
  <c r="J68" i="2" s="1"/>
  <c r="F3" i="5"/>
  <c r="I3" i="5" s="1"/>
  <c r="J3" i="5" s="1"/>
  <c r="F4" i="5"/>
  <c r="I4" i="5" s="1"/>
  <c r="J4" i="5" s="1"/>
  <c r="F5" i="5"/>
  <c r="I5" i="5" s="1"/>
  <c r="J5" i="5" s="1"/>
  <c r="F6" i="5"/>
  <c r="I6" i="5" s="1"/>
  <c r="J6" i="5" s="1"/>
  <c r="F7" i="5"/>
  <c r="I7" i="5" s="1"/>
  <c r="J7" i="5" s="1"/>
  <c r="F8" i="5"/>
  <c r="I8" i="5" s="1"/>
  <c r="J8" i="5" s="1"/>
  <c r="F9" i="5"/>
  <c r="I9" i="5" s="1"/>
  <c r="J9" i="5" s="1"/>
  <c r="F10" i="5"/>
  <c r="I10" i="5" s="1"/>
  <c r="J10" i="5" s="1"/>
  <c r="F11" i="5"/>
  <c r="I11" i="5" s="1"/>
  <c r="J11" i="5" s="1"/>
  <c r="F12" i="5"/>
  <c r="I12" i="5" s="1"/>
  <c r="J12" i="5" s="1"/>
  <c r="F13" i="5"/>
  <c r="I13" i="5" s="1"/>
  <c r="J13" i="5" s="1"/>
  <c r="F14" i="5"/>
  <c r="I14" i="5" s="1"/>
  <c r="J14" i="5" s="1"/>
  <c r="F15" i="5"/>
  <c r="I15" i="5" s="1"/>
  <c r="J15" i="5" s="1"/>
  <c r="F16" i="5"/>
  <c r="I16" i="5" s="1"/>
  <c r="J16" i="5" s="1"/>
  <c r="F17" i="5"/>
  <c r="I17" i="5" s="1"/>
  <c r="J17" i="5" s="1"/>
  <c r="F18" i="5"/>
  <c r="I18" i="5" s="1"/>
  <c r="J18" i="5" s="1"/>
  <c r="F19" i="5"/>
  <c r="I19" i="5" s="1"/>
  <c r="J19" i="5" s="1"/>
  <c r="F20" i="5"/>
  <c r="I20" i="5" s="1"/>
  <c r="J20" i="5" s="1"/>
  <c r="F21" i="5"/>
  <c r="I21" i="5" s="1"/>
  <c r="J21" i="5" s="1"/>
  <c r="F22" i="5"/>
  <c r="I22" i="5" s="1"/>
  <c r="J22" i="5" s="1"/>
  <c r="F23" i="5"/>
  <c r="I23" i="5" s="1"/>
  <c r="J23" i="5" s="1"/>
  <c r="F24" i="5"/>
  <c r="I24" i="5" s="1"/>
  <c r="J24" i="5" s="1"/>
  <c r="F25" i="5"/>
  <c r="I25" i="5" s="1"/>
  <c r="J25" i="5" s="1"/>
  <c r="F26" i="5"/>
  <c r="I26" i="5" s="1"/>
  <c r="J26" i="5" s="1"/>
  <c r="F27" i="5"/>
  <c r="I27" i="5" s="1"/>
  <c r="J27" i="5" s="1"/>
  <c r="F31" i="5"/>
  <c r="I31" i="5" s="1"/>
  <c r="J31" i="5" s="1"/>
  <c r="F32" i="5"/>
  <c r="I32" i="5" s="1"/>
  <c r="J32" i="5" s="1"/>
  <c r="F33" i="5"/>
  <c r="I33" i="5" s="1"/>
  <c r="J33" i="5" s="1"/>
  <c r="F34" i="5"/>
  <c r="I34" i="5" s="1"/>
  <c r="J34" i="5" s="1"/>
  <c r="F35" i="5"/>
  <c r="I35" i="5" s="1"/>
  <c r="J35" i="5" s="1"/>
  <c r="F36" i="5"/>
  <c r="I36" i="5" s="1"/>
  <c r="J36" i="5" s="1"/>
  <c r="F40" i="5"/>
  <c r="I40" i="5" s="1"/>
  <c r="J40" i="5" s="1"/>
  <c r="F41" i="5"/>
  <c r="I41" i="5" s="1"/>
  <c r="J41" i="5" s="1"/>
  <c r="F42" i="5"/>
  <c r="I42" i="5" s="1"/>
  <c r="J42" i="5" s="1"/>
  <c r="F44" i="5"/>
  <c r="I44" i="5" s="1"/>
  <c r="J44" i="5" s="1"/>
  <c r="F45" i="5"/>
  <c r="I45" i="5" s="1"/>
  <c r="J45" i="5" s="1"/>
  <c r="F46" i="5"/>
  <c r="I46" i="5" s="1"/>
  <c r="J46" i="5" s="1"/>
  <c r="F2" i="5"/>
  <c r="I2" i="5" s="1"/>
  <c r="J2" i="5" s="1"/>
  <c r="F3" i="3"/>
  <c r="I3" i="3" s="1"/>
  <c r="J3" i="3" s="1"/>
  <c r="F4" i="3"/>
  <c r="I4" i="3" s="1"/>
  <c r="J4" i="3" s="1"/>
  <c r="F5" i="3"/>
  <c r="I5" i="3" s="1"/>
  <c r="J5" i="3" s="1"/>
  <c r="F6" i="3"/>
  <c r="I6" i="3" s="1"/>
  <c r="J6" i="3" s="1"/>
  <c r="F7" i="3"/>
  <c r="I7" i="3" s="1"/>
  <c r="J7" i="3" s="1"/>
  <c r="F8" i="3"/>
  <c r="I8" i="3" s="1"/>
  <c r="J8" i="3" s="1"/>
  <c r="F9" i="3"/>
  <c r="I9" i="3" s="1"/>
  <c r="J9" i="3" s="1"/>
  <c r="F10" i="3"/>
  <c r="I10" i="3" s="1"/>
  <c r="J10" i="3" s="1"/>
  <c r="F11" i="3"/>
  <c r="I11" i="3" s="1"/>
  <c r="J11" i="3" s="1"/>
  <c r="F12" i="3"/>
  <c r="I12" i="3" s="1"/>
  <c r="J12" i="3" s="1"/>
  <c r="F13" i="3"/>
  <c r="I13" i="3" s="1"/>
  <c r="J13" i="3" s="1"/>
  <c r="F14" i="3"/>
  <c r="I14" i="3" s="1"/>
  <c r="J14" i="3" s="1"/>
  <c r="F15" i="3"/>
  <c r="I15" i="3" s="1"/>
  <c r="J15" i="3" s="1"/>
  <c r="F16" i="3"/>
  <c r="I16" i="3" s="1"/>
  <c r="J16" i="3" s="1"/>
  <c r="F17" i="3"/>
  <c r="I17" i="3" s="1"/>
  <c r="J17" i="3" s="1"/>
  <c r="F18" i="3"/>
  <c r="I18" i="3" s="1"/>
  <c r="J18" i="3" s="1"/>
  <c r="F19" i="3"/>
  <c r="I19" i="3" s="1"/>
  <c r="J19" i="3" s="1"/>
  <c r="F20" i="3"/>
  <c r="I20" i="3" s="1"/>
  <c r="J20" i="3" s="1"/>
  <c r="F21" i="3"/>
  <c r="I21" i="3" s="1"/>
  <c r="J21" i="3" s="1"/>
  <c r="F22" i="3"/>
  <c r="I22" i="3" s="1"/>
  <c r="J22" i="3" s="1"/>
  <c r="F23" i="3"/>
  <c r="I23" i="3" s="1"/>
  <c r="J23" i="3" s="1"/>
  <c r="F24" i="3"/>
  <c r="I24" i="3" s="1"/>
  <c r="J24" i="3" s="1"/>
  <c r="F25" i="3"/>
  <c r="I25" i="3" s="1"/>
  <c r="J25" i="3" s="1"/>
  <c r="F26" i="3"/>
  <c r="I26" i="3" s="1"/>
  <c r="J26" i="3" s="1"/>
  <c r="F27" i="3"/>
  <c r="I27" i="3" s="1"/>
  <c r="J27" i="3" s="1"/>
  <c r="F28" i="3"/>
  <c r="I28" i="3" s="1"/>
  <c r="J28" i="3" s="1"/>
  <c r="F29" i="3"/>
  <c r="I29" i="3" s="1"/>
  <c r="J29" i="3" s="1"/>
  <c r="F30" i="3"/>
  <c r="I30" i="3" s="1"/>
  <c r="J30" i="3" s="1"/>
  <c r="F31" i="3"/>
  <c r="I31" i="3" s="1"/>
  <c r="J31" i="3" s="1"/>
  <c r="F32" i="3"/>
  <c r="I32" i="3" s="1"/>
  <c r="J32" i="3" s="1"/>
  <c r="F33" i="3"/>
  <c r="I33" i="3" s="1"/>
  <c r="J33" i="3" s="1"/>
  <c r="F34" i="3"/>
  <c r="I34" i="3" s="1"/>
  <c r="J34" i="3" s="1"/>
  <c r="F35" i="3"/>
  <c r="I35" i="3" s="1"/>
  <c r="J35" i="3" s="1"/>
  <c r="F36" i="3"/>
  <c r="I36" i="3" s="1"/>
  <c r="J36" i="3" s="1"/>
  <c r="F37" i="3"/>
  <c r="I37" i="3" s="1"/>
  <c r="J37" i="3" s="1"/>
  <c r="F38" i="3"/>
  <c r="I38" i="3" s="1"/>
  <c r="J38" i="3" s="1"/>
  <c r="F39" i="3"/>
  <c r="I39" i="3" s="1"/>
  <c r="J39" i="3" s="1"/>
  <c r="F40" i="3"/>
  <c r="I40" i="3" s="1"/>
  <c r="J40" i="3" s="1"/>
  <c r="F41" i="3"/>
  <c r="I41" i="3" s="1"/>
  <c r="J41" i="3" s="1"/>
  <c r="F42" i="3"/>
  <c r="I42" i="3" s="1"/>
  <c r="J42" i="3" s="1"/>
  <c r="F43" i="3"/>
  <c r="I43" i="3" s="1"/>
  <c r="J43" i="3" s="1"/>
  <c r="F44" i="3"/>
  <c r="I44" i="3" s="1"/>
  <c r="J44" i="3" s="1"/>
  <c r="F45" i="3"/>
  <c r="I45" i="3" s="1"/>
  <c r="J45" i="3" s="1"/>
  <c r="F46" i="3"/>
  <c r="I46" i="3" s="1"/>
  <c r="J46" i="3" s="1"/>
  <c r="F47" i="3"/>
  <c r="I47" i="3" s="1"/>
  <c r="J47" i="3" s="1"/>
  <c r="F48" i="3"/>
  <c r="I48" i="3" s="1"/>
  <c r="J48" i="3" s="1"/>
  <c r="F49" i="3"/>
  <c r="I49" i="3" s="1"/>
  <c r="J49" i="3" s="1"/>
  <c r="F50" i="3"/>
  <c r="I50" i="3" s="1"/>
  <c r="J50" i="3" s="1"/>
  <c r="F51" i="3"/>
  <c r="I51" i="3" s="1"/>
  <c r="J51" i="3" s="1"/>
  <c r="F52" i="3"/>
  <c r="I52" i="3" s="1"/>
  <c r="J52" i="3" s="1"/>
  <c r="F53" i="3"/>
  <c r="I53" i="3" s="1"/>
  <c r="J53" i="3" s="1"/>
  <c r="F54" i="3"/>
  <c r="I54" i="3" s="1"/>
  <c r="J54" i="3" s="1"/>
  <c r="F55" i="3"/>
  <c r="I55" i="3" s="1"/>
  <c r="J55" i="3" s="1"/>
  <c r="F56" i="3"/>
  <c r="I56" i="3" s="1"/>
  <c r="J56" i="3" s="1"/>
  <c r="F57" i="3"/>
  <c r="I57" i="3" s="1"/>
  <c r="J57" i="3" s="1"/>
  <c r="F58" i="3"/>
  <c r="I58" i="3" s="1"/>
  <c r="J58" i="3" s="1"/>
  <c r="F59" i="3"/>
  <c r="I59" i="3" s="1"/>
  <c r="J59" i="3" s="1"/>
  <c r="F60" i="3"/>
  <c r="I60" i="3" s="1"/>
  <c r="J60" i="3" s="1"/>
  <c r="F61" i="3"/>
  <c r="I61" i="3" s="1"/>
  <c r="J61" i="3" s="1"/>
  <c r="F62" i="3"/>
  <c r="I62" i="3" s="1"/>
  <c r="J62" i="3" s="1"/>
  <c r="F63" i="3"/>
  <c r="I63" i="3" s="1"/>
  <c r="J63" i="3" s="1"/>
  <c r="F64" i="3"/>
  <c r="I64" i="3" s="1"/>
  <c r="J64" i="3" s="1"/>
  <c r="F65" i="3"/>
  <c r="I65" i="3" s="1"/>
  <c r="J65" i="3" s="1"/>
  <c r="F66" i="3"/>
  <c r="I66" i="3" s="1"/>
  <c r="J66" i="3" s="1"/>
  <c r="F67" i="3"/>
  <c r="I67" i="3" s="1"/>
  <c r="J67" i="3" s="1"/>
  <c r="F68" i="3"/>
  <c r="I68" i="3" s="1"/>
  <c r="J68" i="3" s="1"/>
  <c r="F69" i="3"/>
  <c r="I69" i="3" s="1"/>
  <c r="J69" i="3" s="1"/>
  <c r="F70" i="3"/>
  <c r="I70" i="3" s="1"/>
  <c r="J70" i="3" s="1"/>
  <c r="F71" i="3"/>
  <c r="I71" i="3" s="1"/>
  <c r="J71" i="3" s="1"/>
  <c r="F72" i="3"/>
  <c r="I72" i="3" s="1"/>
  <c r="J72" i="3" s="1"/>
  <c r="F73" i="3"/>
  <c r="I73" i="3" s="1"/>
  <c r="J73" i="3" s="1"/>
  <c r="F74" i="3"/>
  <c r="I74" i="3" s="1"/>
  <c r="J74" i="3" s="1"/>
  <c r="F75" i="3"/>
  <c r="I75" i="3" s="1"/>
  <c r="J75" i="3" s="1"/>
  <c r="F76" i="3"/>
  <c r="I76" i="3" s="1"/>
  <c r="J76" i="3" s="1"/>
  <c r="F77" i="3"/>
  <c r="I77" i="3" s="1"/>
  <c r="J77" i="3" s="1"/>
  <c r="F78" i="3"/>
  <c r="I78" i="3" s="1"/>
  <c r="J78" i="3" s="1"/>
  <c r="F79" i="3"/>
  <c r="I79" i="3" s="1"/>
  <c r="J79" i="3" s="1"/>
  <c r="F80" i="3"/>
  <c r="I80" i="3" s="1"/>
  <c r="J80" i="3" s="1"/>
  <c r="F81" i="3"/>
  <c r="I81" i="3" s="1"/>
  <c r="J81" i="3" s="1"/>
  <c r="F82" i="3"/>
  <c r="I82" i="3" s="1"/>
  <c r="J82" i="3" s="1"/>
  <c r="F83" i="3"/>
  <c r="I83" i="3" s="1"/>
  <c r="J83" i="3" s="1"/>
  <c r="F84" i="3"/>
  <c r="I84" i="3" s="1"/>
  <c r="J84" i="3" s="1"/>
  <c r="F85" i="3"/>
  <c r="I85" i="3" s="1"/>
  <c r="J85" i="3" s="1"/>
  <c r="F86" i="3"/>
  <c r="I86" i="3" s="1"/>
  <c r="J86" i="3" s="1"/>
  <c r="F87" i="3"/>
  <c r="I87" i="3" s="1"/>
  <c r="J87" i="3" s="1"/>
  <c r="F88" i="3"/>
  <c r="I88" i="3" s="1"/>
  <c r="J88" i="3" s="1"/>
  <c r="F89" i="3"/>
  <c r="I89" i="3" s="1"/>
  <c r="J89" i="3" s="1"/>
  <c r="F90" i="3"/>
  <c r="I90" i="3" s="1"/>
  <c r="J90" i="3" s="1"/>
  <c r="F91" i="3"/>
  <c r="I91" i="3" s="1"/>
  <c r="J91" i="3" s="1"/>
  <c r="F92" i="3"/>
  <c r="I92" i="3" s="1"/>
  <c r="J92" i="3" s="1"/>
  <c r="F93" i="3"/>
  <c r="I93" i="3" s="1"/>
  <c r="J93" i="3" s="1"/>
  <c r="F94" i="3"/>
  <c r="I94" i="3" s="1"/>
  <c r="J94" i="3" s="1"/>
  <c r="F95" i="3"/>
  <c r="I95" i="3" s="1"/>
  <c r="J95" i="3" s="1"/>
  <c r="F96" i="3"/>
  <c r="I96" i="3" s="1"/>
  <c r="J96" i="3" s="1"/>
  <c r="F97" i="3"/>
  <c r="I97" i="3" s="1"/>
  <c r="J97" i="3" s="1"/>
  <c r="F98" i="3"/>
  <c r="I98" i="3" s="1"/>
  <c r="J98" i="3" s="1"/>
  <c r="F99" i="3"/>
  <c r="I99" i="3" s="1"/>
  <c r="J99" i="3" s="1"/>
  <c r="F2" i="3"/>
  <c r="I2" i="3" s="1"/>
  <c r="J2" i="3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</calcChain>
</file>

<file path=xl/sharedStrings.xml><?xml version="1.0" encoding="utf-8"?>
<sst xmlns="http://schemas.openxmlformats.org/spreadsheetml/2006/main" count="482" uniqueCount="37">
  <si>
    <t>Sl No</t>
  </si>
  <si>
    <t xml:space="preserve">Iteam </t>
  </si>
  <si>
    <t>Code</t>
  </si>
  <si>
    <t>Mrp</t>
  </si>
  <si>
    <t>Qty</t>
  </si>
  <si>
    <t>A Line Kurthis</t>
  </si>
  <si>
    <t>A Line Kurthi</t>
  </si>
  <si>
    <t>Kurthis</t>
  </si>
  <si>
    <t>Anarkali</t>
  </si>
  <si>
    <t>Maxi Drees</t>
  </si>
  <si>
    <t>a</t>
  </si>
  <si>
    <t>Cort set</t>
  </si>
  <si>
    <t>A STICHED SALWAR</t>
  </si>
  <si>
    <t>Lehanga</t>
  </si>
  <si>
    <t>collar top</t>
  </si>
  <si>
    <t>flw shirt</t>
  </si>
  <si>
    <t>Gown</t>
  </si>
  <si>
    <t>Saree gown</t>
  </si>
  <si>
    <t>G G T Gown</t>
  </si>
  <si>
    <t>Pakstn lahanga</t>
  </si>
  <si>
    <t>Shdep lehanga</t>
  </si>
  <si>
    <t>Brida Lehanka</t>
  </si>
  <si>
    <t>Palazo</t>
  </si>
  <si>
    <t>Penck B T M</t>
  </si>
  <si>
    <t>Sharara pant</t>
  </si>
  <si>
    <t>D B Skirt top</t>
  </si>
  <si>
    <t>Salwar set</t>
  </si>
  <si>
    <t>3 no</t>
  </si>
  <si>
    <t>5 no</t>
  </si>
  <si>
    <t>2 no</t>
  </si>
  <si>
    <t>COLLAR TOP</t>
  </si>
  <si>
    <t>CORD SET</t>
  </si>
  <si>
    <t>KURTHI</t>
  </si>
  <si>
    <t>MRP EXCLUDING GST</t>
  </si>
  <si>
    <t xml:space="preserve">TAXABLE </t>
  </si>
  <si>
    <t>TAX</t>
  </si>
  <si>
    <t>MRP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</si>
</sst>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opLeftCell="A91" workbookViewId="0">
      <selection activeCell="H109" sqref="H109"/>
    </sheetView>
  </sheetViews>
  <sheetFormatPr defaultRowHeight="14.4" x14ac:dyDescent="0.3"/>
  <cols>
    <col min="2" max="2" width="18.6640625" customWidth="1"/>
    <col min="3" max="3" width="12.33203125" customWidth="1"/>
    <col min="4" max="4" width="10.5546875" customWidth="1"/>
    <col min="6" max="6" width="26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</row>
    <row r="2" spans="1:10" x14ac:dyDescent="0.3">
      <c r="B2" t="s">
        <v>5</v>
      </c>
      <c r="C2">
        <v>4910</v>
      </c>
      <c r="D2">
        <v>1750</v>
      </c>
      <c r="F2">
        <f>ROUND(IF(D2&gt;2500, D2/1.18, D2/1.05),2)</f>
        <v>1666.67</v>
      </c>
      <c r="H2">
        <f>ROUND(IF(D2&gt;2500, D2/1.18, D2/1.05),2)</f>
        <v>1666.67</v>
      </c>
      <c r="I2">
        <f>D2-H2</f>
        <v>83.329999999999927</v>
      </c>
      <c r="J2">
        <f>SUM(H2:I2)</f>
        <v>1750</v>
      </c>
    </row>
    <row r="3" spans="1:10" x14ac:dyDescent="0.3">
      <c r="B3" t="s">
        <v>5</v>
      </c>
      <c r="C3">
        <v>2477</v>
      </c>
      <c r="D3">
        <v>2150</v>
      </c>
      <c r="F3">
        <f t="shared" ref="F3:F66" si="0">ROUND(IF(D3&gt;2500, D3/1.18, D3/1.05),2)</f>
        <v>2047.62</v>
      </c>
      <c r="H3">
        <f t="shared" ref="H3:H66" si="1">ROUND(IF(D3&gt;2500, D3/1.18, D3/1.05),2)</f>
        <v>2047.62</v>
      </c>
      <c r="I3">
        <f t="shared" ref="I3:I66" si="2">D3-H3</f>
        <v>102.38000000000011</v>
      </c>
      <c r="J3">
        <f t="shared" ref="J3:J66" si="3">SUM(H3:I3)</f>
        <v>2150</v>
      </c>
    </row>
    <row r="4" spans="1:10" x14ac:dyDescent="0.3">
      <c r="B4" t="s">
        <v>5</v>
      </c>
      <c r="C4">
        <v>2528</v>
      </c>
      <c r="D4">
        <v>2275</v>
      </c>
      <c r="F4">
        <f t="shared" si="0"/>
        <v>2166.67</v>
      </c>
      <c r="H4">
        <f t="shared" si="1"/>
        <v>2166.67</v>
      </c>
      <c r="I4">
        <f t="shared" si="2"/>
        <v>108.32999999999993</v>
      </c>
      <c r="J4">
        <f t="shared" si="3"/>
        <v>2275</v>
      </c>
    </row>
    <row r="5" spans="1:10" x14ac:dyDescent="0.3">
      <c r="B5" t="s">
        <v>5</v>
      </c>
      <c r="C5">
        <v>2440</v>
      </c>
      <c r="D5">
        <v>2575</v>
      </c>
      <c r="F5">
        <f t="shared" si="0"/>
        <v>2182.1999999999998</v>
      </c>
      <c r="H5">
        <f t="shared" si="1"/>
        <v>2182.1999999999998</v>
      </c>
      <c r="I5">
        <f t="shared" si="2"/>
        <v>392.80000000000018</v>
      </c>
      <c r="J5">
        <f t="shared" si="3"/>
        <v>2575</v>
      </c>
    </row>
    <row r="6" spans="1:10" x14ac:dyDescent="0.3">
      <c r="B6" t="s">
        <v>5</v>
      </c>
      <c r="C6">
        <v>2312</v>
      </c>
      <c r="D6">
        <v>2575</v>
      </c>
      <c r="F6">
        <f t="shared" si="0"/>
        <v>2182.1999999999998</v>
      </c>
      <c r="H6">
        <f t="shared" si="1"/>
        <v>2182.1999999999998</v>
      </c>
      <c r="I6">
        <f t="shared" si="2"/>
        <v>392.80000000000018</v>
      </c>
      <c r="J6">
        <f t="shared" si="3"/>
        <v>2575</v>
      </c>
    </row>
    <row r="7" spans="1:10" x14ac:dyDescent="0.3">
      <c r="B7" t="s">
        <v>5</v>
      </c>
      <c r="C7">
        <v>2513</v>
      </c>
      <c r="D7">
        <v>2575</v>
      </c>
      <c r="F7">
        <f t="shared" si="0"/>
        <v>2182.1999999999998</v>
      </c>
      <c r="H7">
        <f t="shared" si="1"/>
        <v>2182.1999999999998</v>
      </c>
      <c r="I7">
        <f t="shared" si="2"/>
        <v>392.80000000000018</v>
      </c>
      <c r="J7">
        <f t="shared" si="3"/>
        <v>2575</v>
      </c>
    </row>
    <row r="8" spans="1:10" x14ac:dyDescent="0.3">
      <c r="B8" t="s">
        <v>5</v>
      </c>
      <c r="C8">
        <v>4854</v>
      </c>
      <c r="D8">
        <v>2675</v>
      </c>
      <c r="F8">
        <f t="shared" si="0"/>
        <v>2266.9499999999998</v>
      </c>
      <c r="H8">
        <f t="shared" si="1"/>
        <v>2266.9499999999998</v>
      </c>
      <c r="I8">
        <f t="shared" si="2"/>
        <v>408.05000000000018</v>
      </c>
      <c r="J8">
        <f t="shared" si="3"/>
        <v>2675</v>
      </c>
    </row>
    <row r="9" spans="1:10" x14ac:dyDescent="0.3">
      <c r="B9" t="s">
        <v>5</v>
      </c>
      <c r="C9">
        <v>2311</v>
      </c>
      <c r="D9">
        <v>2550</v>
      </c>
      <c r="F9">
        <f t="shared" si="0"/>
        <v>2161.02</v>
      </c>
      <c r="H9">
        <f t="shared" si="1"/>
        <v>2161.02</v>
      </c>
      <c r="I9">
        <f t="shared" si="2"/>
        <v>388.98</v>
      </c>
      <c r="J9">
        <f t="shared" si="3"/>
        <v>2550</v>
      </c>
    </row>
    <row r="10" spans="1:10" x14ac:dyDescent="0.3">
      <c r="B10" t="s">
        <v>5</v>
      </c>
      <c r="C10">
        <v>2419</v>
      </c>
      <c r="D10">
        <v>2250</v>
      </c>
      <c r="F10">
        <f t="shared" si="0"/>
        <v>2142.86</v>
      </c>
      <c r="H10">
        <f t="shared" si="1"/>
        <v>2142.86</v>
      </c>
      <c r="I10">
        <f t="shared" si="2"/>
        <v>107.13999999999987</v>
      </c>
      <c r="J10">
        <f t="shared" si="3"/>
        <v>2250</v>
      </c>
    </row>
    <row r="11" spans="1:10" x14ac:dyDescent="0.3">
      <c r="B11" t="s">
        <v>5</v>
      </c>
      <c r="C11">
        <v>2433</v>
      </c>
      <c r="D11">
        <v>2575</v>
      </c>
      <c r="F11">
        <f t="shared" si="0"/>
        <v>2182.1999999999998</v>
      </c>
      <c r="H11">
        <f t="shared" si="1"/>
        <v>2182.1999999999998</v>
      </c>
      <c r="I11">
        <f t="shared" si="2"/>
        <v>392.80000000000018</v>
      </c>
      <c r="J11">
        <f t="shared" si="3"/>
        <v>2575</v>
      </c>
    </row>
    <row r="12" spans="1:10" x14ac:dyDescent="0.3">
      <c r="B12" t="s">
        <v>5</v>
      </c>
      <c r="C12">
        <v>4982</v>
      </c>
      <c r="D12">
        <v>3150</v>
      </c>
      <c r="F12">
        <f t="shared" si="0"/>
        <v>2669.49</v>
      </c>
      <c r="H12">
        <f t="shared" si="1"/>
        <v>2669.49</v>
      </c>
      <c r="I12">
        <f t="shared" si="2"/>
        <v>480.51000000000022</v>
      </c>
      <c r="J12">
        <f t="shared" si="3"/>
        <v>3150</v>
      </c>
    </row>
    <row r="13" spans="1:10" x14ac:dyDescent="0.3">
      <c r="B13" t="s">
        <v>5</v>
      </c>
      <c r="C13">
        <v>2510</v>
      </c>
      <c r="D13">
        <v>2275</v>
      </c>
      <c r="F13">
        <f t="shared" si="0"/>
        <v>2166.67</v>
      </c>
      <c r="H13">
        <f t="shared" si="1"/>
        <v>2166.67</v>
      </c>
      <c r="I13">
        <f t="shared" si="2"/>
        <v>108.32999999999993</v>
      </c>
      <c r="J13">
        <f t="shared" si="3"/>
        <v>2275</v>
      </c>
    </row>
    <row r="14" spans="1:10" x14ac:dyDescent="0.3">
      <c r="B14" t="s">
        <v>5</v>
      </c>
      <c r="C14">
        <v>2544</v>
      </c>
      <c r="D14">
        <v>2750</v>
      </c>
      <c r="F14">
        <f t="shared" si="0"/>
        <v>2330.5100000000002</v>
      </c>
      <c r="H14">
        <f t="shared" si="1"/>
        <v>2330.5100000000002</v>
      </c>
      <c r="I14">
        <f t="shared" si="2"/>
        <v>419.48999999999978</v>
      </c>
      <c r="J14">
        <f t="shared" si="3"/>
        <v>2750</v>
      </c>
    </row>
    <row r="15" spans="1:10" x14ac:dyDescent="0.3">
      <c r="B15" t="s">
        <v>5</v>
      </c>
      <c r="C15">
        <v>2519</v>
      </c>
      <c r="D15">
        <v>1975</v>
      </c>
      <c r="F15">
        <f t="shared" si="0"/>
        <v>1880.95</v>
      </c>
      <c r="H15">
        <f t="shared" si="1"/>
        <v>1880.95</v>
      </c>
      <c r="I15">
        <f t="shared" si="2"/>
        <v>94.049999999999955</v>
      </c>
      <c r="J15">
        <f t="shared" si="3"/>
        <v>1975</v>
      </c>
    </row>
    <row r="16" spans="1:10" x14ac:dyDescent="0.3">
      <c r="B16" t="s">
        <v>5</v>
      </c>
      <c r="C16">
        <v>2394</v>
      </c>
      <c r="D16">
        <v>1975</v>
      </c>
      <c r="F16">
        <f t="shared" si="0"/>
        <v>1880.95</v>
      </c>
      <c r="H16">
        <f t="shared" si="1"/>
        <v>1880.95</v>
      </c>
      <c r="I16">
        <f t="shared" si="2"/>
        <v>94.049999999999955</v>
      </c>
      <c r="J16">
        <f t="shared" si="3"/>
        <v>1975</v>
      </c>
    </row>
    <row r="17" spans="2:10" x14ac:dyDescent="0.3">
      <c r="B17" t="s">
        <v>5</v>
      </c>
      <c r="C17">
        <v>4990</v>
      </c>
      <c r="D17">
        <v>2150</v>
      </c>
      <c r="F17">
        <f t="shared" si="0"/>
        <v>2047.62</v>
      </c>
      <c r="H17">
        <f t="shared" si="1"/>
        <v>2047.62</v>
      </c>
      <c r="I17">
        <f t="shared" si="2"/>
        <v>102.38000000000011</v>
      </c>
      <c r="J17">
        <f t="shared" si="3"/>
        <v>2150</v>
      </c>
    </row>
    <row r="18" spans="2:10" x14ac:dyDescent="0.3">
      <c r="B18" t="s">
        <v>5</v>
      </c>
      <c r="C18">
        <v>2494</v>
      </c>
      <c r="D18">
        <v>2950</v>
      </c>
      <c r="F18">
        <f t="shared" si="0"/>
        <v>2500</v>
      </c>
      <c r="H18">
        <f t="shared" si="1"/>
        <v>2500</v>
      </c>
      <c r="I18">
        <f t="shared" si="2"/>
        <v>450</v>
      </c>
      <c r="J18">
        <f t="shared" si="3"/>
        <v>2950</v>
      </c>
    </row>
    <row r="19" spans="2:10" x14ac:dyDescent="0.3">
      <c r="B19" t="s">
        <v>5</v>
      </c>
      <c r="C19">
        <v>5000</v>
      </c>
      <c r="D19">
        <v>1295</v>
      </c>
      <c r="F19">
        <f t="shared" si="0"/>
        <v>1233.33</v>
      </c>
      <c r="H19">
        <f t="shared" si="1"/>
        <v>1233.33</v>
      </c>
      <c r="I19">
        <f t="shared" si="2"/>
        <v>61.670000000000073</v>
      </c>
      <c r="J19">
        <f t="shared" si="3"/>
        <v>1295</v>
      </c>
    </row>
    <row r="20" spans="2:10" x14ac:dyDescent="0.3">
      <c r="B20" t="s">
        <v>5</v>
      </c>
      <c r="C20">
        <v>4889</v>
      </c>
      <c r="D20">
        <v>2975</v>
      </c>
      <c r="F20">
        <f t="shared" si="0"/>
        <v>2521.19</v>
      </c>
      <c r="H20">
        <f t="shared" si="1"/>
        <v>2521.19</v>
      </c>
      <c r="I20">
        <f t="shared" si="2"/>
        <v>453.80999999999995</v>
      </c>
      <c r="J20">
        <f t="shared" si="3"/>
        <v>2975</v>
      </c>
    </row>
    <row r="21" spans="2:10" x14ac:dyDescent="0.3">
      <c r="B21" t="s">
        <v>5</v>
      </c>
      <c r="C21">
        <v>1888</v>
      </c>
      <c r="D21">
        <v>3350</v>
      </c>
      <c r="F21">
        <f t="shared" si="0"/>
        <v>2838.98</v>
      </c>
      <c r="H21">
        <f t="shared" si="1"/>
        <v>2838.98</v>
      </c>
      <c r="I21">
        <f t="shared" si="2"/>
        <v>511.02</v>
      </c>
      <c r="J21">
        <f t="shared" si="3"/>
        <v>3350</v>
      </c>
    </row>
    <row r="22" spans="2:10" x14ac:dyDescent="0.3">
      <c r="B22" t="s">
        <v>5</v>
      </c>
      <c r="C22">
        <v>4969</v>
      </c>
      <c r="D22">
        <v>2250</v>
      </c>
      <c r="F22">
        <f t="shared" si="0"/>
        <v>2142.86</v>
      </c>
      <c r="H22">
        <f t="shared" si="1"/>
        <v>2142.86</v>
      </c>
      <c r="I22">
        <f t="shared" si="2"/>
        <v>107.13999999999987</v>
      </c>
      <c r="J22">
        <f t="shared" si="3"/>
        <v>2250</v>
      </c>
    </row>
    <row r="23" spans="2:10" x14ac:dyDescent="0.3">
      <c r="B23" t="s">
        <v>5</v>
      </c>
      <c r="C23">
        <v>2468</v>
      </c>
      <c r="D23">
        <v>2750</v>
      </c>
      <c r="F23">
        <f t="shared" si="0"/>
        <v>2330.5100000000002</v>
      </c>
      <c r="H23">
        <f t="shared" si="1"/>
        <v>2330.5100000000002</v>
      </c>
      <c r="I23">
        <f t="shared" si="2"/>
        <v>419.48999999999978</v>
      </c>
      <c r="J23">
        <f t="shared" si="3"/>
        <v>2750</v>
      </c>
    </row>
    <row r="24" spans="2:10" x14ac:dyDescent="0.3">
      <c r="B24" t="s">
        <v>5</v>
      </c>
      <c r="C24">
        <v>2509</v>
      </c>
      <c r="D24">
        <v>2575</v>
      </c>
      <c r="F24">
        <f t="shared" si="0"/>
        <v>2182.1999999999998</v>
      </c>
      <c r="H24">
        <f t="shared" si="1"/>
        <v>2182.1999999999998</v>
      </c>
      <c r="I24">
        <f t="shared" si="2"/>
        <v>392.80000000000018</v>
      </c>
      <c r="J24">
        <f t="shared" si="3"/>
        <v>2575</v>
      </c>
    </row>
    <row r="25" spans="2:10" x14ac:dyDescent="0.3">
      <c r="B25" t="s">
        <v>5</v>
      </c>
      <c r="C25">
        <v>2532</v>
      </c>
      <c r="D25">
        <v>2275</v>
      </c>
      <c r="F25">
        <f t="shared" si="0"/>
        <v>2166.67</v>
      </c>
      <c r="H25">
        <f t="shared" si="1"/>
        <v>2166.67</v>
      </c>
      <c r="I25">
        <f t="shared" si="2"/>
        <v>108.32999999999993</v>
      </c>
      <c r="J25">
        <f t="shared" si="3"/>
        <v>2275</v>
      </c>
    </row>
    <row r="26" spans="2:10" x14ac:dyDescent="0.3">
      <c r="B26" t="s">
        <v>5</v>
      </c>
      <c r="C26">
        <v>2543</v>
      </c>
      <c r="D26">
        <v>2575</v>
      </c>
      <c r="F26">
        <f t="shared" si="0"/>
        <v>2182.1999999999998</v>
      </c>
      <c r="H26">
        <f t="shared" si="1"/>
        <v>2182.1999999999998</v>
      </c>
      <c r="I26">
        <f t="shared" si="2"/>
        <v>392.80000000000018</v>
      </c>
      <c r="J26">
        <f t="shared" si="3"/>
        <v>2575</v>
      </c>
    </row>
    <row r="27" spans="2:10" x14ac:dyDescent="0.3">
      <c r="B27" t="s">
        <v>5</v>
      </c>
      <c r="C27">
        <v>2422</v>
      </c>
      <c r="D27">
        <v>2575</v>
      </c>
      <c r="F27">
        <f t="shared" si="0"/>
        <v>2182.1999999999998</v>
      </c>
      <c r="H27">
        <f t="shared" si="1"/>
        <v>2182.1999999999998</v>
      </c>
      <c r="I27">
        <f t="shared" si="2"/>
        <v>392.80000000000018</v>
      </c>
      <c r="J27">
        <f t="shared" si="3"/>
        <v>2575</v>
      </c>
    </row>
    <row r="28" spans="2:10" x14ac:dyDescent="0.3">
      <c r="B28" t="s">
        <v>5</v>
      </c>
      <c r="C28">
        <v>2398</v>
      </c>
      <c r="D28">
        <v>2575</v>
      </c>
      <c r="F28">
        <f t="shared" si="0"/>
        <v>2182.1999999999998</v>
      </c>
      <c r="H28">
        <f t="shared" si="1"/>
        <v>2182.1999999999998</v>
      </c>
      <c r="I28">
        <f t="shared" si="2"/>
        <v>392.80000000000018</v>
      </c>
      <c r="J28">
        <f t="shared" si="3"/>
        <v>2575</v>
      </c>
    </row>
    <row r="29" spans="2:10" x14ac:dyDescent="0.3">
      <c r="B29" t="s">
        <v>5</v>
      </c>
      <c r="C29">
        <v>4958</v>
      </c>
      <c r="D29">
        <v>2350</v>
      </c>
      <c r="F29">
        <f t="shared" si="0"/>
        <v>2238.1</v>
      </c>
      <c r="H29">
        <f t="shared" si="1"/>
        <v>2238.1</v>
      </c>
      <c r="I29">
        <f t="shared" si="2"/>
        <v>111.90000000000009</v>
      </c>
      <c r="J29">
        <f t="shared" si="3"/>
        <v>2350</v>
      </c>
    </row>
    <row r="30" spans="2:10" x14ac:dyDescent="0.3">
      <c r="B30" t="s">
        <v>5</v>
      </c>
      <c r="C30">
        <v>4977</v>
      </c>
      <c r="D30">
        <v>2350</v>
      </c>
      <c r="F30">
        <f t="shared" si="0"/>
        <v>2238.1</v>
      </c>
      <c r="H30">
        <f t="shared" si="1"/>
        <v>2238.1</v>
      </c>
      <c r="I30">
        <f t="shared" si="2"/>
        <v>111.90000000000009</v>
      </c>
      <c r="J30">
        <f t="shared" si="3"/>
        <v>2350</v>
      </c>
    </row>
    <row r="31" spans="2:10" x14ac:dyDescent="0.3">
      <c r="B31" t="s">
        <v>5</v>
      </c>
      <c r="C31">
        <v>3676</v>
      </c>
      <c r="D31">
        <v>1175</v>
      </c>
      <c r="F31">
        <f t="shared" si="0"/>
        <v>1119.05</v>
      </c>
      <c r="H31">
        <f t="shared" si="1"/>
        <v>1119.05</v>
      </c>
      <c r="I31">
        <f t="shared" si="2"/>
        <v>55.950000000000045</v>
      </c>
      <c r="J31">
        <f t="shared" si="3"/>
        <v>1175</v>
      </c>
    </row>
    <row r="32" spans="2:10" x14ac:dyDescent="0.3">
      <c r="B32" t="s">
        <v>5</v>
      </c>
      <c r="C32">
        <v>4938</v>
      </c>
      <c r="D32">
        <v>2250</v>
      </c>
      <c r="F32">
        <f t="shared" si="0"/>
        <v>2142.86</v>
      </c>
      <c r="H32">
        <f t="shared" si="1"/>
        <v>2142.86</v>
      </c>
      <c r="I32">
        <f t="shared" si="2"/>
        <v>107.13999999999987</v>
      </c>
      <c r="J32">
        <f t="shared" si="3"/>
        <v>2250</v>
      </c>
    </row>
    <row r="33" spans="2:10" x14ac:dyDescent="0.3">
      <c r="B33" t="s">
        <v>5</v>
      </c>
      <c r="C33">
        <v>2314</v>
      </c>
      <c r="D33">
        <v>1750</v>
      </c>
      <c r="F33">
        <f t="shared" si="0"/>
        <v>1666.67</v>
      </c>
      <c r="H33">
        <f t="shared" si="1"/>
        <v>1666.67</v>
      </c>
      <c r="I33">
        <f t="shared" si="2"/>
        <v>83.329999999999927</v>
      </c>
      <c r="J33">
        <f t="shared" si="3"/>
        <v>1750</v>
      </c>
    </row>
    <row r="34" spans="2:10" x14ac:dyDescent="0.3">
      <c r="B34" t="s">
        <v>5</v>
      </c>
      <c r="C34">
        <v>4903</v>
      </c>
      <c r="D34">
        <v>1875</v>
      </c>
      <c r="F34">
        <f t="shared" si="0"/>
        <v>1785.71</v>
      </c>
      <c r="H34">
        <f t="shared" si="1"/>
        <v>1785.71</v>
      </c>
      <c r="I34">
        <f t="shared" si="2"/>
        <v>89.289999999999964</v>
      </c>
      <c r="J34">
        <f t="shared" si="3"/>
        <v>1875</v>
      </c>
    </row>
    <row r="35" spans="2:10" x14ac:dyDescent="0.3">
      <c r="B35" t="s">
        <v>5</v>
      </c>
      <c r="C35">
        <v>2467</v>
      </c>
      <c r="D35">
        <v>2750</v>
      </c>
      <c r="F35">
        <f t="shared" si="0"/>
        <v>2330.5100000000002</v>
      </c>
      <c r="H35">
        <f t="shared" si="1"/>
        <v>2330.5100000000002</v>
      </c>
      <c r="I35">
        <f t="shared" si="2"/>
        <v>419.48999999999978</v>
      </c>
      <c r="J35">
        <f t="shared" si="3"/>
        <v>2750</v>
      </c>
    </row>
    <row r="36" spans="2:10" x14ac:dyDescent="0.3">
      <c r="B36" t="s">
        <v>5</v>
      </c>
      <c r="C36">
        <v>4860</v>
      </c>
      <c r="D36">
        <v>1875</v>
      </c>
      <c r="F36">
        <f t="shared" si="0"/>
        <v>1785.71</v>
      </c>
      <c r="H36">
        <f t="shared" si="1"/>
        <v>1785.71</v>
      </c>
      <c r="I36">
        <f t="shared" si="2"/>
        <v>89.289999999999964</v>
      </c>
      <c r="J36">
        <f t="shared" si="3"/>
        <v>1875</v>
      </c>
    </row>
    <row r="37" spans="2:10" x14ac:dyDescent="0.3">
      <c r="B37" t="s">
        <v>5</v>
      </c>
      <c r="C37">
        <v>2395</v>
      </c>
      <c r="D37">
        <v>2575</v>
      </c>
      <c r="F37">
        <f t="shared" si="0"/>
        <v>2182.1999999999998</v>
      </c>
      <c r="H37">
        <f t="shared" si="1"/>
        <v>2182.1999999999998</v>
      </c>
      <c r="I37">
        <f t="shared" si="2"/>
        <v>392.80000000000018</v>
      </c>
      <c r="J37">
        <f t="shared" si="3"/>
        <v>2575</v>
      </c>
    </row>
    <row r="38" spans="2:10" x14ac:dyDescent="0.3">
      <c r="B38" t="s">
        <v>5</v>
      </c>
      <c r="C38">
        <v>2480</v>
      </c>
      <c r="D38">
        <v>2250</v>
      </c>
      <c r="F38">
        <f t="shared" si="0"/>
        <v>2142.86</v>
      </c>
      <c r="H38">
        <f t="shared" si="1"/>
        <v>2142.86</v>
      </c>
      <c r="I38">
        <f t="shared" si="2"/>
        <v>107.13999999999987</v>
      </c>
      <c r="J38">
        <f t="shared" si="3"/>
        <v>2250</v>
      </c>
    </row>
    <row r="39" spans="2:10" x14ac:dyDescent="0.3">
      <c r="B39" t="s">
        <v>5</v>
      </c>
      <c r="C39">
        <v>2443</v>
      </c>
      <c r="D39">
        <v>2575</v>
      </c>
      <c r="F39">
        <f t="shared" si="0"/>
        <v>2182.1999999999998</v>
      </c>
      <c r="H39">
        <f t="shared" si="1"/>
        <v>2182.1999999999998</v>
      </c>
      <c r="I39">
        <f t="shared" si="2"/>
        <v>392.80000000000018</v>
      </c>
      <c r="J39">
        <f t="shared" si="3"/>
        <v>2575</v>
      </c>
    </row>
    <row r="40" spans="2:10" x14ac:dyDescent="0.3">
      <c r="B40" t="s">
        <v>5</v>
      </c>
      <c r="C40">
        <v>2476</v>
      </c>
      <c r="D40">
        <v>2250</v>
      </c>
      <c r="F40">
        <f t="shared" si="0"/>
        <v>2142.86</v>
      </c>
      <c r="H40">
        <f t="shared" si="1"/>
        <v>2142.86</v>
      </c>
      <c r="I40">
        <f t="shared" si="2"/>
        <v>107.13999999999987</v>
      </c>
      <c r="J40">
        <f t="shared" si="3"/>
        <v>2250</v>
      </c>
    </row>
    <row r="41" spans="2:10" x14ac:dyDescent="0.3">
      <c r="B41" t="s">
        <v>5</v>
      </c>
      <c r="C41">
        <v>4856</v>
      </c>
      <c r="D41">
        <v>2275</v>
      </c>
      <c r="F41">
        <f t="shared" si="0"/>
        <v>2166.67</v>
      </c>
      <c r="H41">
        <f t="shared" si="1"/>
        <v>2166.67</v>
      </c>
      <c r="I41">
        <f t="shared" si="2"/>
        <v>108.32999999999993</v>
      </c>
      <c r="J41">
        <f t="shared" si="3"/>
        <v>2275</v>
      </c>
    </row>
    <row r="42" spans="2:10" x14ac:dyDescent="0.3">
      <c r="B42" t="s">
        <v>5</v>
      </c>
      <c r="C42">
        <v>1992</v>
      </c>
      <c r="D42">
        <v>1975</v>
      </c>
      <c r="F42">
        <f t="shared" si="0"/>
        <v>1880.95</v>
      </c>
      <c r="H42">
        <f t="shared" si="1"/>
        <v>1880.95</v>
      </c>
      <c r="I42">
        <f t="shared" si="2"/>
        <v>94.049999999999955</v>
      </c>
      <c r="J42">
        <f t="shared" si="3"/>
        <v>1975</v>
      </c>
    </row>
    <row r="43" spans="2:10" x14ac:dyDescent="0.3">
      <c r="B43" t="s">
        <v>5</v>
      </c>
      <c r="C43">
        <v>2469</v>
      </c>
      <c r="D43">
        <v>2250</v>
      </c>
      <c r="F43">
        <f t="shared" si="0"/>
        <v>2142.86</v>
      </c>
      <c r="H43">
        <f t="shared" si="1"/>
        <v>2142.86</v>
      </c>
      <c r="I43">
        <f t="shared" si="2"/>
        <v>107.13999999999987</v>
      </c>
      <c r="J43">
        <f t="shared" si="3"/>
        <v>2250</v>
      </c>
    </row>
    <row r="44" spans="2:10" x14ac:dyDescent="0.3">
      <c r="B44" t="s">
        <v>5</v>
      </c>
      <c r="C44">
        <v>2520</v>
      </c>
      <c r="D44">
        <v>2275</v>
      </c>
      <c r="F44">
        <f t="shared" si="0"/>
        <v>2166.67</v>
      </c>
      <c r="H44">
        <f t="shared" si="1"/>
        <v>2166.67</v>
      </c>
      <c r="I44">
        <f t="shared" si="2"/>
        <v>108.32999999999993</v>
      </c>
      <c r="J44">
        <f t="shared" si="3"/>
        <v>2275</v>
      </c>
    </row>
    <row r="45" spans="2:10" x14ac:dyDescent="0.3">
      <c r="B45" t="s">
        <v>5</v>
      </c>
      <c r="C45">
        <v>4318</v>
      </c>
      <c r="D45">
        <v>3150</v>
      </c>
      <c r="F45">
        <f t="shared" si="0"/>
        <v>2669.49</v>
      </c>
      <c r="H45">
        <f t="shared" si="1"/>
        <v>2669.49</v>
      </c>
      <c r="I45">
        <f t="shared" si="2"/>
        <v>480.51000000000022</v>
      </c>
      <c r="J45">
        <f t="shared" si="3"/>
        <v>3150</v>
      </c>
    </row>
    <row r="46" spans="2:10" x14ac:dyDescent="0.3">
      <c r="B46" t="s">
        <v>5</v>
      </c>
      <c r="C46">
        <v>2548</v>
      </c>
      <c r="D46">
        <v>2950</v>
      </c>
      <c r="F46">
        <f t="shared" si="0"/>
        <v>2500</v>
      </c>
      <c r="H46">
        <f t="shared" si="1"/>
        <v>2500</v>
      </c>
      <c r="I46">
        <f t="shared" si="2"/>
        <v>450</v>
      </c>
      <c r="J46">
        <f t="shared" si="3"/>
        <v>2950</v>
      </c>
    </row>
    <row r="47" spans="2:10" x14ac:dyDescent="0.3">
      <c r="B47" t="s">
        <v>5</v>
      </c>
      <c r="C47">
        <v>2547</v>
      </c>
      <c r="D47">
        <v>2575</v>
      </c>
      <c r="F47">
        <f t="shared" si="0"/>
        <v>2182.1999999999998</v>
      </c>
      <c r="H47">
        <f t="shared" si="1"/>
        <v>2182.1999999999998</v>
      </c>
      <c r="I47">
        <f t="shared" si="2"/>
        <v>392.80000000000018</v>
      </c>
      <c r="J47">
        <f t="shared" si="3"/>
        <v>2575</v>
      </c>
    </row>
    <row r="48" spans="2:10" x14ac:dyDescent="0.3">
      <c r="B48" t="s">
        <v>5</v>
      </c>
      <c r="C48">
        <v>4976</v>
      </c>
      <c r="D48">
        <v>1750</v>
      </c>
      <c r="F48">
        <f t="shared" si="0"/>
        <v>1666.67</v>
      </c>
      <c r="H48">
        <f t="shared" si="1"/>
        <v>1666.67</v>
      </c>
      <c r="I48">
        <f t="shared" si="2"/>
        <v>83.329999999999927</v>
      </c>
      <c r="J48">
        <f t="shared" si="3"/>
        <v>1750</v>
      </c>
    </row>
    <row r="49" spans="2:10" x14ac:dyDescent="0.3">
      <c r="B49" t="s">
        <v>5</v>
      </c>
      <c r="C49">
        <v>2417</v>
      </c>
      <c r="D49">
        <v>2350</v>
      </c>
      <c r="F49">
        <f t="shared" si="0"/>
        <v>2238.1</v>
      </c>
      <c r="H49">
        <f t="shared" si="1"/>
        <v>2238.1</v>
      </c>
      <c r="I49">
        <f t="shared" si="2"/>
        <v>111.90000000000009</v>
      </c>
      <c r="J49">
        <f t="shared" si="3"/>
        <v>2350</v>
      </c>
    </row>
    <row r="50" spans="2:10" x14ac:dyDescent="0.3">
      <c r="B50" t="s">
        <v>5</v>
      </c>
      <c r="C50">
        <v>2485</v>
      </c>
      <c r="D50">
        <v>2250</v>
      </c>
      <c r="F50">
        <f t="shared" si="0"/>
        <v>2142.86</v>
      </c>
      <c r="H50">
        <f t="shared" si="1"/>
        <v>2142.86</v>
      </c>
      <c r="I50">
        <f t="shared" si="2"/>
        <v>107.13999999999987</v>
      </c>
      <c r="J50">
        <f t="shared" si="3"/>
        <v>2250</v>
      </c>
    </row>
    <row r="51" spans="2:10" x14ac:dyDescent="0.3">
      <c r="B51" t="s">
        <v>5</v>
      </c>
      <c r="C51">
        <v>2426</v>
      </c>
      <c r="D51">
        <v>2975</v>
      </c>
      <c r="F51">
        <f t="shared" si="0"/>
        <v>2521.19</v>
      </c>
      <c r="H51">
        <f t="shared" si="1"/>
        <v>2521.19</v>
      </c>
      <c r="I51">
        <f t="shared" si="2"/>
        <v>453.80999999999995</v>
      </c>
      <c r="J51">
        <f t="shared" si="3"/>
        <v>2975</v>
      </c>
    </row>
    <row r="52" spans="2:10" x14ac:dyDescent="0.3">
      <c r="B52" t="s">
        <v>5</v>
      </c>
      <c r="C52">
        <v>2522</v>
      </c>
      <c r="D52">
        <v>2275</v>
      </c>
      <c r="F52">
        <f t="shared" si="0"/>
        <v>2166.67</v>
      </c>
      <c r="H52">
        <f t="shared" si="1"/>
        <v>2166.67</v>
      </c>
      <c r="I52">
        <f t="shared" si="2"/>
        <v>108.32999999999993</v>
      </c>
      <c r="J52">
        <f t="shared" si="3"/>
        <v>2275</v>
      </c>
    </row>
    <row r="53" spans="2:10" x14ac:dyDescent="0.3">
      <c r="B53" t="s">
        <v>5</v>
      </c>
      <c r="C53">
        <v>4997</v>
      </c>
      <c r="D53">
        <v>1975</v>
      </c>
      <c r="F53">
        <f t="shared" si="0"/>
        <v>1880.95</v>
      </c>
      <c r="H53">
        <f t="shared" si="1"/>
        <v>1880.95</v>
      </c>
      <c r="I53">
        <f t="shared" si="2"/>
        <v>94.049999999999955</v>
      </c>
      <c r="J53">
        <f t="shared" si="3"/>
        <v>1975</v>
      </c>
    </row>
    <row r="54" spans="2:10" x14ac:dyDescent="0.3">
      <c r="B54" t="s">
        <v>5</v>
      </c>
      <c r="C54">
        <v>2541</v>
      </c>
      <c r="D54">
        <v>1975</v>
      </c>
      <c r="F54">
        <f t="shared" si="0"/>
        <v>1880.95</v>
      </c>
      <c r="H54">
        <f t="shared" si="1"/>
        <v>1880.95</v>
      </c>
      <c r="I54">
        <f t="shared" si="2"/>
        <v>94.049999999999955</v>
      </c>
      <c r="J54">
        <f t="shared" si="3"/>
        <v>1975</v>
      </c>
    </row>
    <row r="55" spans="2:10" x14ac:dyDescent="0.3">
      <c r="B55" t="s">
        <v>5</v>
      </c>
      <c r="C55">
        <v>4998</v>
      </c>
      <c r="D55">
        <v>1875</v>
      </c>
      <c r="F55">
        <f t="shared" si="0"/>
        <v>1785.71</v>
      </c>
      <c r="H55">
        <f t="shared" si="1"/>
        <v>1785.71</v>
      </c>
      <c r="I55">
        <f t="shared" si="2"/>
        <v>89.289999999999964</v>
      </c>
      <c r="J55">
        <f t="shared" si="3"/>
        <v>1875</v>
      </c>
    </row>
    <row r="56" spans="2:10" x14ac:dyDescent="0.3">
      <c r="B56" t="s">
        <v>5</v>
      </c>
      <c r="C56">
        <v>2053</v>
      </c>
      <c r="D56">
        <v>3150</v>
      </c>
      <c r="F56">
        <f t="shared" si="0"/>
        <v>2669.49</v>
      </c>
      <c r="H56">
        <f t="shared" si="1"/>
        <v>2669.49</v>
      </c>
      <c r="I56">
        <f t="shared" si="2"/>
        <v>480.51000000000022</v>
      </c>
      <c r="J56">
        <f t="shared" si="3"/>
        <v>3150</v>
      </c>
    </row>
    <row r="57" spans="2:10" x14ac:dyDescent="0.3">
      <c r="B57" t="s">
        <v>5</v>
      </c>
      <c r="C57">
        <v>2444</v>
      </c>
      <c r="D57">
        <v>2575</v>
      </c>
      <c r="F57">
        <f t="shared" si="0"/>
        <v>2182.1999999999998</v>
      </c>
      <c r="H57">
        <f t="shared" si="1"/>
        <v>2182.1999999999998</v>
      </c>
      <c r="I57">
        <f t="shared" si="2"/>
        <v>392.80000000000018</v>
      </c>
      <c r="J57">
        <f t="shared" si="3"/>
        <v>2575</v>
      </c>
    </row>
    <row r="58" spans="2:10" x14ac:dyDescent="0.3">
      <c r="B58" t="s">
        <v>5</v>
      </c>
      <c r="C58">
        <v>2438</v>
      </c>
      <c r="D58">
        <v>2575</v>
      </c>
      <c r="F58">
        <f t="shared" si="0"/>
        <v>2182.1999999999998</v>
      </c>
      <c r="H58">
        <f t="shared" si="1"/>
        <v>2182.1999999999998</v>
      </c>
      <c r="I58">
        <f t="shared" si="2"/>
        <v>392.80000000000018</v>
      </c>
      <c r="J58">
        <f t="shared" si="3"/>
        <v>2575</v>
      </c>
    </row>
    <row r="59" spans="2:10" x14ac:dyDescent="0.3">
      <c r="B59" t="s">
        <v>5</v>
      </c>
      <c r="C59">
        <v>4923</v>
      </c>
      <c r="D59">
        <v>4975</v>
      </c>
      <c r="F59">
        <f t="shared" si="0"/>
        <v>4216.1000000000004</v>
      </c>
      <c r="H59">
        <f t="shared" si="1"/>
        <v>4216.1000000000004</v>
      </c>
      <c r="I59">
        <f t="shared" si="2"/>
        <v>758.89999999999964</v>
      </c>
      <c r="J59">
        <f t="shared" si="3"/>
        <v>4975</v>
      </c>
    </row>
    <row r="60" spans="2:10" x14ac:dyDescent="0.3">
      <c r="B60" t="s">
        <v>5</v>
      </c>
      <c r="C60">
        <v>2540</v>
      </c>
      <c r="D60">
        <v>2750</v>
      </c>
      <c r="F60">
        <f t="shared" si="0"/>
        <v>2330.5100000000002</v>
      </c>
      <c r="H60">
        <f t="shared" si="1"/>
        <v>2330.5100000000002</v>
      </c>
      <c r="I60">
        <f t="shared" si="2"/>
        <v>419.48999999999978</v>
      </c>
      <c r="J60">
        <f t="shared" si="3"/>
        <v>2750</v>
      </c>
    </row>
    <row r="61" spans="2:10" x14ac:dyDescent="0.3">
      <c r="B61" t="s">
        <v>5</v>
      </c>
      <c r="C61">
        <v>2399</v>
      </c>
      <c r="D61">
        <v>2275</v>
      </c>
      <c r="F61">
        <f t="shared" si="0"/>
        <v>2166.67</v>
      </c>
      <c r="H61">
        <f t="shared" si="1"/>
        <v>2166.67</v>
      </c>
      <c r="I61">
        <f t="shared" si="2"/>
        <v>108.32999999999993</v>
      </c>
      <c r="J61">
        <f t="shared" si="3"/>
        <v>2275</v>
      </c>
    </row>
    <row r="62" spans="2:10" x14ac:dyDescent="0.3">
      <c r="B62" t="s">
        <v>5</v>
      </c>
      <c r="C62">
        <v>2306</v>
      </c>
      <c r="D62">
        <v>2250</v>
      </c>
      <c r="F62">
        <f t="shared" si="0"/>
        <v>2142.86</v>
      </c>
      <c r="H62">
        <f t="shared" si="1"/>
        <v>2142.86</v>
      </c>
      <c r="I62">
        <f t="shared" si="2"/>
        <v>107.13999999999987</v>
      </c>
      <c r="J62">
        <f t="shared" si="3"/>
        <v>2250</v>
      </c>
    </row>
    <row r="63" spans="2:10" x14ac:dyDescent="0.3">
      <c r="B63" t="s">
        <v>5</v>
      </c>
      <c r="C63">
        <v>4891</v>
      </c>
      <c r="D63">
        <v>1750</v>
      </c>
      <c r="F63">
        <f t="shared" si="0"/>
        <v>1666.67</v>
      </c>
      <c r="H63">
        <f t="shared" si="1"/>
        <v>1666.67</v>
      </c>
      <c r="I63">
        <f t="shared" si="2"/>
        <v>83.329999999999927</v>
      </c>
      <c r="J63">
        <f t="shared" si="3"/>
        <v>1750</v>
      </c>
    </row>
    <row r="64" spans="2:10" x14ac:dyDescent="0.3">
      <c r="B64" t="s">
        <v>5</v>
      </c>
      <c r="C64">
        <v>5047</v>
      </c>
      <c r="D64">
        <v>2250</v>
      </c>
      <c r="F64">
        <f t="shared" si="0"/>
        <v>2142.86</v>
      </c>
      <c r="H64">
        <f t="shared" si="1"/>
        <v>2142.86</v>
      </c>
      <c r="I64">
        <f t="shared" si="2"/>
        <v>107.13999999999987</v>
      </c>
      <c r="J64">
        <f t="shared" si="3"/>
        <v>2250</v>
      </c>
    </row>
    <row r="65" spans="2:10" x14ac:dyDescent="0.3">
      <c r="B65" t="s">
        <v>5</v>
      </c>
      <c r="C65">
        <v>2508</v>
      </c>
      <c r="D65">
        <v>2575</v>
      </c>
      <c r="F65">
        <f t="shared" si="0"/>
        <v>2182.1999999999998</v>
      </c>
      <c r="H65">
        <f t="shared" si="1"/>
        <v>2182.1999999999998</v>
      </c>
      <c r="I65">
        <f t="shared" si="2"/>
        <v>392.80000000000018</v>
      </c>
      <c r="J65">
        <f t="shared" si="3"/>
        <v>2575</v>
      </c>
    </row>
    <row r="66" spans="2:10" x14ac:dyDescent="0.3">
      <c r="B66" t="s">
        <v>5</v>
      </c>
      <c r="C66">
        <v>4887</v>
      </c>
      <c r="D66">
        <v>3250</v>
      </c>
      <c r="F66">
        <f t="shared" si="0"/>
        <v>2754.24</v>
      </c>
      <c r="H66">
        <f t="shared" si="1"/>
        <v>2754.24</v>
      </c>
      <c r="I66">
        <f t="shared" si="2"/>
        <v>495.76000000000022</v>
      </c>
      <c r="J66">
        <f t="shared" si="3"/>
        <v>3250</v>
      </c>
    </row>
    <row r="67" spans="2:10" x14ac:dyDescent="0.3">
      <c r="B67" t="s">
        <v>5</v>
      </c>
      <c r="C67">
        <v>2539</v>
      </c>
      <c r="D67">
        <v>2275</v>
      </c>
      <c r="F67">
        <f t="shared" ref="F67:F101" si="4">ROUND(IF(D67&gt;2500, D67/1.18, D67/1.05),2)</f>
        <v>2166.67</v>
      </c>
      <c r="H67">
        <f t="shared" ref="H67:H101" si="5">ROUND(IF(D67&gt;2500, D67/1.18, D67/1.05),2)</f>
        <v>2166.67</v>
      </c>
      <c r="I67">
        <f t="shared" ref="I67:I101" si="6">D67-H67</f>
        <v>108.32999999999993</v>
      </c>
      <c r="J67">
        <f t="shared" ref="J67:J101" si="7">SUM(H67:I67)</f>
        <v>2275</v>
      </c>
    </row>
    <row r="68" spans="2:10" x14ac:dyDescent="0.3">
      <c r="B68" t="s">
        <v>5</v>
      </c>
      <c r="C68">
        <v>2516</v>
      </c>
      <c r="D68">
        <v>2250</v>
      </c>
      <c r="F68">
        <f t="shared" si="4"/>
        <v>2142.86</v>
      </c>
      <c r="H68">
        <f t="shared" si="5"/>
        <v>2142.86</v>
      </c>
      <c r="I68">
        <f t="shared" si="6"/>
        <v>107.13999999999987</v>
      </c>
      <c r="J68">
        <f t="shared" si="7"/>
        <v>2250</v>
      </c>
    </row>
    <row r="69" spans="2:10" x14ac:dyDescent="0.3">
      <c r="B69" t="s">
        <v>5</v>
      </c>
      <c r="C69">
        <v>2406</v>
      </c>
      <c r="D69">
        <v>2475</v>
      </c>
      <c r="F69">
        <f t="shared" si="4"/>
        <v>2357.14</v>
      </c>
      <c r="H69">
        <f t="shared" si="5"/>
        <v>2357.14</v>
      </c>
      <c r="I69">
        <f t="shared" si="6"/>
        <v>117.86000000000013</v>
      </c>
      <c r="J69">
        <f t="shared" si="7"/>
        <v>2475</v>
      </c>
    </row>
    <row r="70" spans="2:10" x14ac:dyDescent="0.3">
      <c r="B70" t="s">
        <v>5</v>
      </c>
      <c r="C70">
        <v>1973</v>
      </c>
      <c r="D70">
        <v>2150</v>
      </c>
      <c r="F70">
        <f t="shared" si="4"/>
        <v>2047.62</v>
      </c>
      <c r="H70">
        <f t="shared" si="5"/>
        <v>2047.62</v>
      </c>
      <c r="I70">
        <f t="shared" si="6"/>
        <v>102.38000000000011</v>
      </c>
      <c r="J70">
        <f t="shared" si="7"/>
        <v>2150</v>
      </c>
    </row>
    <row r="71" spans="2:10" x14ac:dyDescent="0.3">
      <c r="B71" t="s">
        <v>5</v>
      </c>
      <c r="C71">
        <v>4950</v>
      </c>
      <c r="D71">
        <v>2175</v>
      </c>
      <c r="F71">
        <f t="shared" si="4"/>
        <v>2071.4299999999998</v>
      </c>
      <c r="H71">
        <f t="shared" si="5"/>
        <v>2071.4299999999998</v>
      </c>
      <c r="I71">
        <f t="shared" si="6"/>
        <v>103.57000000000016</v>
      </c>
      <c r="J71">
        <f t="shared" si="7"/>
        <v>2175</v>
      </c>
    </row>
    <row r="72" spans="2:10" x14ac:dyDescent="0.3">
      <c r="B72" t="s">
        <v>5</v>
      </c>
      <c r="C72">
        <v>4968</v>
      </c>
      <c r="D72">
        <v>2275</v>
      </c>
      <c r="F72">
        <f t="shared" si="4"/>
        <v>2166.67</v>
      </c>
      <c r="H72">
        <f t="shared" si="5"/>
        <v>2166.67</v>
      </c>
      <c r="I72">
        <f t="shared" si="6"/>
        <v>108.32999999999993</v>
      </c>
      <c r="J72">
        <f t="shared" si="7"/>
        <v>2275</v>
      </c>
    </row>
    <row r="73" spans="2:10" x14ac:dyDescent="0.3">
      <c r="B73" t="s">
        <v>5</v>
      </c>
      <c r="C73">
        <v>4499</v>
      </c>
      <c r="D73">
        <v>3150</v>
      </c>
      <c r="F73">
        <f t="shared" si="4"/>
        <v>2669.49</v>
      </c>
      <c r="H73">
        <f t="shared" si="5"/>
        <v>2669.49</v>
      </c>
      <c r="I73">
        <f t="shared" si="6"/>
        <v>480.51000000000022</v>
      </c>
      <c r="J73">
        <f t="shared" si="7"/>
        <v>3150</v>
      </c>
    </row>
    <row r="74" spans="2:10" x14ac:dyDescent="0.3">
      <c r="B74" t="s">
        <v>5</v>
      </c>
      <c r="C74">
        <v>2484</v>
      </c>
      <c r="D74">
        <v>2975</v>
      </c>
      <c r="F74">
        <f t="shared" si="4"/>
        <v>2521.19</v>
      </c>
      <c r="H74">
        <f t="shared" si="5"/>
        <v>2521.19</v>
      </c>
      <c r="I74">
        <f t="shared" si="6"/>
        <v>453.80999999999995</v>
      </c>
      <c r="J74">
        <f t="shared" si="7"/>
        <v>2975</v>
      </c>
    </row>
    <row r="75" spans="2:10" x14ac:dyDescent="0.3">
      <c r="B75" t="s">
        <v>5</v>
      </c>
      <c r="C75">
        <v>2512</v>
      </c>
      <c r="D75">
        <v>2950</v>
      </c>
      <c r="F75">
        <f t="shared" si="4"/>
        <v>2500</v>
      </c>
      <c r="H75">
        <f t="shared" si="5"/>
        <v>2500</v>
      </c>
      <c r="I75">
        <f t="shared" si="6"/>
        <v>450</v>
      </c>
      <c r="J75">
        <f t="shared" si="7"/>
        <v>2950</v>
      </c>
    </row>
    <row r="76" spans="2:10" x14ac:dyDescent="0.3">
      <c r="B76" t="s">
        <v>5</v>
      </c>
      <c r="C76">
        <v>3676</v>
      </c>
      <c r="D76">
        <v>1175</v>
      </c>
      <c r="F76">
        <f t="shared" si="4"/>
        <v>1119.05</v>
      </c>
      <c r="H76">
        <f t="shared" si="5"/>
        <v>1119.05</v>
      </c>
      <c r="I76">
        <f t="shared" si="6"/>
        <v>55.950000000000045</v>
      </c>
      <c r="J76">
        <f t="shared" si="7"/>
        <v>1175</v>
      </c>
    </row>
    <row r="77" spans="2:10" x14ac:dyDescent="0.3">
      <c r="B77" t="s">
        <v>5</v>
      </c>
      <c r="C77">
        <v>4962</v>
      </c>
      <c r="D77">
        <v>3450</v>
      </c>
      <c r="F77">
        <f t="shared" si="4"/>
        <v>2923.73</v>
      </c>
      <c r="H77">
        <f t="shared" si="5"/>
        <v>2923.73</v>
      </c>
      <c r="I77">
        <f t="shared" si="6"/>
        <v>526.27</v>
      </c>
      <c r="J77">
        <f t="shared" si="7"/>
        <v>3450</v>
      </c>
    </row>
    <row r="78" spans="2:10" x14ac:dyDescent="0.3">
      <c r="B78" t="s">
        <v>5</v>
      </c>
      <c r="C78">
        <v>4306</v>
      </c>
      <c r="D78">
        <v>2750</v>
      </c>
      <c r="F78">
        <f t="shared" si="4"/>
        <v>2330.5100000000002</v>
      </c>
      <c r="H78">
        <f t="shared" si="5"/>
        <v>2330.5100000000002</v>
      </c>
      <c r="I78">
        <f t="shared" si="6"/>
        <v>419.48999999999978</v>
      </c>
      <c r="J78">
        <f t="shared" si="7"/>
        <v>2750</v>
      </c>
    </row>
    <row r="79" spans="2:10" x14ac:dyDescent="0.3">
      <c r="B79" t="s">
        <v>5</v>
      </c>
      <c r="C79">
        <v>4941</v>
      </c>
      <c r="D79">
        <v>1975</v>
      </c>
      <c r="F79">
        <f t="shared" si="4"/>
        <v>1880.95</v>
      </c>
      <c r="H79">
        <f t="shared" si="5"/>
        <v>1880.95</v>
      </c>
      <c r="I79">
        <f t="shared" si="6"/>
        <v>94.049999999999955</v>
      </c>
      <c r="J79">
        <f t="shared" si="7"/>
        <v>1975</v>
      </c>
    </row>
    <row r="80" spans="2:10" x14ac:dyDescent="0.3">
      <c r="B80" t="s">
        <v>5</v>
      </c>
      <c r="C80">
        <v>2511</v>
      </c>
      <c r="D80">
        <v>2275</v>
      </c>
      <c r="F80">
        <f t="shared" si="4"/>
        <v>2166.67</v>
      </c>
      <c r="H80">
        <f t="shared" si="5"/>
        <v>2166.67</v>
      </c>
      <c r="I80">
        <f t="shared" si="6"/>
        <v>108.32999999999993</v>
      </c>
      <c r="J80">
        <f t="shared" si="7"/>
        <v>2275</v>
      </c>
    </row>
    <row r="81" spans="2:10" x14ac:dyDescent="0.3">
      <c r="B81" t="s">
        <v>5</v>
      </c>
      <c r="C81">
        <v>2525</v>
      </c>
      <c r="D81">
        <v>2650</v>
      </c>
      <c r="F81">
        <f t="shared" si="4"/>
        <v>2245.7600000000002</v>
      </c>
      <c r="H81">
        <f t="shared" si="5"/>
        <v>2245.7600000000002</v>
      </c>
      <c r="I81">
        <f t="shared" si="6"/>
        <v>404.23999999999978</v>
      </c>
      <c r="J81">
        <f t="shared" si="7"/>
        <v>2650</v>
      </c>
    </row>
    <row r="82" spans="2:10" x14ac:dyDescent="0.3">
      <c r="B82" t="s">
        <v>5</v>
      </c>
      <c r="C82">
        <v>2432</v>
      </c>
      <c r="D82">
        <v>2575</v>
      </c>
      <c r="F82">
        <f t="shared" si="4"/>
        <v>2182.1999999999998</v>
      </c>
      <c r="H82">
        <f t="shared" si="5"/>
        <v>2182.1999999999998</v>
      </c>
      <c r="I82">
        <f t="shared" si="6"/>
        <v>392.80000000000018</v>
      </c>
      <c r="J82">
        <f t="shared" si="7"/>
        <v>2575</v>
      </c>
    </row>
    <row r="83" spans="2:10" x14ac:dyDescent="0.3">
      <c r="B83" t="s">
        <v>5</v>
      </c>
      <c r="C83">
        <v>4855</v>
      </c>
      <c r="D83">
        <v>1950</v>
      </c>
      <c r="F83">
        <f t="shared" si="4"/>
        <v>1857.14</v>
      </c>
      <c r="H83">
        <f t="shared" si="5"/>
        <v>1857.14</v>
      </c>
      <c r="I83">
        <f t="shared" si="6"/>
        <v>92.8599999999999</v>
      </c>
      <c r="J83">
        <f t="shared" si="7"/>
        <v>1950</v>
      </c>
    </row>
    <row r="84" spans="2:10" x14ac:dyDescent="0.3">
      <c r="B84" t="s">
        <v>5</v>
      </c>
      <c r="C84">
        <v>2447</v>
      </c>
      <c r="D84">
        <v>2575</v>
      </c>
      <c r="F84">
        <f t="shared" si="4"/>
        <v>2182.1999999999998</v>
      </c>
      <c r="H84">
        <f t="shared" si="5"/>
        <v>2182.1999999999998</v>
      </c>
      <c r="I84">
        <f t="shared" si="6"/>
        <v>392.80000000000018</v>
      </c>
      <c r="J84">
        <f t="shared" si="7"/>
        <v>2575</v>
      </c>
    </row>
    <row r="85" spans="2:10" x14ac:dyDescent="0.3">
      <c r="B85" t="s">
        <v>5</v>
      </c>
      <c r="C85">
        <v>2505</v>
      </c>
      <c r="D85">
        <v>2250</v>
      </c>
      <c r="F85">
        <f t="shared" si="4"/>
        <v>2142.86</v>
      </c>
      <c r="H85">
        <f t="shared" si="5"/>
        <v>2142.86</v>
      </c>
      <c r="I85">
        <f t="shared" si="6"/>
        <v>107.13999999999987</v>
      </c>
      <c r="J85">
        <f t="shared" si="7"/>
        <v>2250</v>
      </c>
    </row>
    <row r="86" spans="2:10" x14ac:dyDescent="0.3">
      <c r="B86" t="s">
        <v>5</v>
      </c>
      <c r="C86">
        <v>4949</v>
      </c>
      <c r="D86">
        <v>1750</v>
      </c>
      <c r="F86">
        <f t="shared" si="4"/>
        <v>1666.67</v>
      </c>
      <c r="H86">
        <f t="shared" si="5"/>
        <v>1666.67</v>
      </c>
      <c r="I86">
        <f t="shared" si="6"/>
        <v>83.329999999999927</v>
      </c>
      <c r="J86">
        <f t="shared" si="7"/>
        <v>1750</v>
      </c>
    </row>
    <row r="87" spans="2:10" x14ac:dyDescent="0.3">
      <c r="B87" t="s">
        <v>5</v>
      </c>
      <c r="C87">
        <v>2402</v>
      </c>
      <c r="D87">
        <v>2275</v>
      </c>
      <c r="F87">
        <f t="shared" si="4"/>
        <v>2166.67</v>
      </c>
      <c r="H87">
        <f t="shared" si="5"/>
        <v>2166.67</v>
      </c>
      <c r="I87">
        <f t="shared" si="6"/>
        <v>108.32999999999993</v>
      </c>
      <c r="J87">
        <f t="shared" si="7"/>
        <v>2275</v>
      </c>
    </row>
    <row r="88" spans="2:10" x14ac:dyDescent="0.3">
      <c r="B88" t="s">
        <v>5</v>
      </c>
      <c r="C88">
        <v>1896</v>
      </c>
      <c r="D88">
        <v>1975</v>
      </c>
      <c r="F88">
        <f t="shared" si="4"/>
        <v>1880.95</v>
      </c>
      <c r="H88">
        <f t="shared" si="5"/>
        <v>1880.95</v>
      </c>
      <c r="I88">
        <f t="shared" si="6"/>
        <v>94.049999999999955</v>
      </c>
      <c r="J88">
        <f t="shared" si="7"/>
        <v>1975</v>
      </c>
    </row>
    <row r="89" spans="2:10" x14ac:dyDescent="0.3">
      <c r="B89" t="s">
        <v>5</v>
      </c>
      <c r="C89">
        <v>2054</v>
      </c>
      <c r="D89">
        <v>3250</v>
      </c>
      <c r="F89">
        <f t="shared" si="4"/>
        <v>2754.24</v>
      </c>
      <c r="H89">
        <f t="shared" si="5"/>
        <v>2754.24</v>
      </c>
      <c r="I89">
        <f t="shared" si="6"/>
        <v>495.76000000000022</v>
      </c>
      <c r="J89">
        <f t="shared" si="7"/>
        <v>3250</v>
      </c>
    </row>
    <row r="90" spans="2:10" x14ac:dyDescent="0.3">
      <c r="B90" t="s">
        <v>5</v>
      </c>
      <c r="C90">
        <v>4935</v>
      </c>
      <c r="D90">
        <v>2150</v>
      </c>
      <c r="F90">
        <f t="shared" si="4"/>
        <v>2047.62</v>
      </c>
      <c r="H90">
        <f t="shared" si="5"/>
        <v>2047.62</v>
      </c>
      <c r="I90">
        <f t="shared" si="6"/>
        <v>102.38000000000011</v>
      </c>
      <c r="J90">
        <f t="shared" si="7"/>
        <v>2150</v>
      </c>
    </row>
    <row r="91" spans="2:10" x14ac:dyDescent="0.3">
      <c r="B91" t="s">
        <v>5</v>
      </c>
      <c r="C91">
        <v>4866</v>
      </c>
      <c r="D91">
        <v>2675</v>
      </c>
      <c r="F91">
        <f t="shared" si="4"/>
        <v>2266.9499999999998</v>
      </c>
      <c r="H91">
        <f t="shared" si="5"/>
        <v>2266.9499999999998</v>
      </c>
      <c r="I91">
        <f t="shared" si="6"/>
        <v>408.05000000000018</v>
      </c>
      <c r="J91">
        <f t="shared" si="7"/>
        <v>2675</v>
      </c>
    </row>
    <row r="92" spans="2:10" x14ac:dyDescent="0.3">
      <c r="B92" t="s">
        <v>5</v>
      </c>
      <c r="C92">
        <v>2403</v>
      </c>
      <c r="D92">
        <v>2350</v>
      </c>
      <c r="F92">
        <f t="shared" si="4"/>
        <v>2238.1</v>
      </c>
      <c r="H92">
        <f t="shared" si="5"/>
        <v>2238.1</v>
      </c>
      <c r="I92">
        <f t="shared" si="6"/>
        <v>111.90000000000009</v>
      </c>
      <c r="J92">
        <f t="shared" si="7"/>
        <v>2350</v>
      </c>
    </row>
    <row r="93" spans="2:10" x14ac:dyDescent="0.3">
      <c r="B93" t="s">
        <v>5</v>
      </c>
      <c r="C93">
        <v>2471</v>
      </c>
      <c r="D93">
        <v>1975</v>
      </c>
      <c r="F93">
        <f t="shared" si="4"/>
        <v>1880.95</v>
      </c>
      <c r="H93">
        <f t="shared" si="5"/>
        <v>1880.95</v>
      </c>
      <c r="I93">
        <f t="shared" si="6"/>
        <v>94.049999999999955</v>
      </c>
      <c r="J93">
        <f t="shared" si="7"/>
        <v>1975</v>
      </c>
    </row>
    <row r="94" spans="2:10" x14ac:dyDescent="0.3">
      <c r="B94" t="s">
        <v>5</v>
      </c>
      <c r="C94">
        <v>3996</v>
      </c>
      <c r="D94">
        <v>799</v>
      </c>
      <c r="F94">
        <f t="shared" si="4"/>
        <v>760.95</v>
      </c>
      <c r="H94">
        <f t="shared" si="5"/>
        <v>760.95</v>
      </c>
      <c r="I94">
        <f t="shared" si="6"/>
        <v>38.049999999999955</v>
      </c>
      <c r="J94">
        <f t="shared" si="7"/>
        <v>799</v>
      </c>
    </row>
    <row r="95" spans="2:10" x14ac:dyDescent="0.3">
      <c r="B95" t="s">
        <v>5</v>
      </c>
      <c r="C95">
        <v>2472</v>
      </c>
      <c r="D95">
        <v>2250</v>
      </c>
      <c r="F95">
        <f t="shared" si="4"/>
        <v>2142.86</v>
      </c>
      <c r="H95">
        <f t="shared" si="5"/>
        <v>2142.86</v>
      </c>
      <c r="I95">
        <f t="shared" si="6"/>
        <v>107.13999999999987</v>
      </c>
      <c r="J95">
        <f t="shared" si="7"/>
        <v>2250</v>
      </c>
    </row>
    <row r="96" spans="2:10" x14ac:dyDescent="0.3">
      <c r="B96" t="s">
        <v>5</v>
      </c>
      <c r="C96">
        <v>2434</v>
      </c>
      <c r="D96">
        <v>2575</v>
      </c>
      <c r="F96">
        <f t="shared" si="4"/>
        <v>2182.1999999999998</v>
      </c>
      <c r="H96">
        <f t="shared" si="5"/>
        <v>2182.1999999999998</v>
      </c>
      <c r="I96">
        <f t="shared" si="6"/>
        <v>392.80000000000018</v>
      </c>
      <c r="J96">
        <f t="shared" si="7"/>
        <v>2575</v>
      </c>
    </row>
    <row r="97" spans="2:10" x14ac:dyDescent="0.3">
      <c r="B97" t="s">
        <v>5</v>
      </c>
      <c r="C97">
        <v>3676</v>
      </c>
      <c r="D97">
        <v>1175</v>
      </c>
      <c r="F97">
        <f t="shared" si="4"/>
        <v>1119.05</v>
      </c>
      <c r="H97">
        <f t="shared" si="5"/>
        <v>1119.05</v>
      </c>
      <c r="I97">
        <f t="shared" si="6"/>
        <v>55.950000000000045</v>
      </c>
      <c r="J97">
        <f t="shared" si="7"/>
        <v>1175</v>
      </c>
    </row>
    <row r="98" spans="2:10" x14ac:dyDescent="0.3">
      <c r="B98" t="s">
        <v>5</v>
      </c>
      <c r="C98">
        <v>2498</v>
      </c>
      <c r="D98">
        <v>1950</v>
      </c>
      <c r="F98">
        <f t="shared" si="4"/>
        <v>1857.14</v>
      </c>
      <c r="H98">
        <f t="shared" si="5"/>
        <v>1857.14</v>
      </c>
      <c r="I98">
        <f t="shared" si="6"/>
        <v>92.8599999999999</v>
      </c>
      <c r="J98">
        <f t="shared" si="7"/>
        <v>1950</v>
      </c>
    </row>
    <row r="99" spans="2:10" x14ac:dyDescent="0.3">
      <c r="B99" t="s">
        <v>5</v>
      </c>
      <c r="C99">
        <v>1911</v>
      </c>
      <c r="D99">
        <v>2750</v>
      </c>
      <c r="F99">
        <f t="shared" si="4"/>
        <v>2330.5100000000002</v>
      </c>
      <c r="H99">
        <f t="shared" si="5"/>
        <v>2330.5100000000002</v>
      </c>
      <c r="I99">
        <f t="shared" si="6"/>
        <v>419.48999999999978</v>
      </c>
      <c r="J99">
        <f t="shared" si="7"/>
        <v>2750</v>
      </c>
    </row>
    <row r="100" spans="2:10" x14ac:dyDescent="0.3">
      <c r="B100" t="s">
        <v>5</v>
      </c>
      <c r="C100">
        <v>2421</v>
      </c>
      <c r="D100">
        <v>1975</v>
      </c>
      <c r="F100">
        <f t="shared" si="4"/>
        <v>1880.95</v>
      </c>
      <c r="H100">
        <f t="shared" si="5"/>
        <v>1880.95</v>
      </c>
      <c r="I100">
        <f t="shared" si="6"/>
        <v>94.049999999999955</v>
      </c>
      <c r="J100">
        <f t="shared" si="7"/>
        <v>1975</v>
      </c>
    </row>
    <row r="101" spans="2:10" x14ac:dyDescent="0.3">
      <c r="B101" t="s">
        <v>5</v>
      </c>
      <c r="C101">
        <v>4921</v>
      </c>
      <c r="D101">
        <v>1650</v>
      </c>
      <c r="F101">
        <f t="shared" si="4"/>
        <v>1571.43</v>
      </c>
      <c r="H101">
        <f t="shared" si="5"/>
        <v>1571.43</v>
      </c>
      <c r="I101">
        <f t="shared" si="6"/>
        <v>78.569999999999936</v>
      </c>
      <c r="J101">
        <f t="shared" si="7"/>
        <v>1650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99"/>
  <sheetViews>
    <sheetView tabSelected="1" workbookViewId="0">
      <selection activeCell="L88" sqref="L88"/>
    </sheetView>
  </sheetViews>
  <sheetFormatPr defaultRowHeight="14.4" x14ac:dyDescent="0.3"/>
  <cols>
    <col min="1" max="1" width="5.88671875" customWidth="1"/>
    <col min="2" max="2" width="17.5546875" customWidth="1"/>
    <col min="3" max="3" width="11.33203125" customWidth="1"/>
    <col min="4" max="4" width="11" customWidth="1"/>
    <col min="6" max="6" width="24" customWidth="1"/>
  </cols>
  <sheetData>
    <row r="1" spans="1:10" x14ac:dyDescent="0.3">
      <c r="A1" t="s">
        <v>10</v>
      </c>
      <c r="B1" t="s">
        <v>1</v>
      </c>
      <c r="C1" t="s">
        <v>2</v>
      </c>
      <c r="D1" t="s">
        <v>3</v>
      </c>
      <c r="E1" t="s">
        <v>4</v>
      </c>
      <c r="F1" t="s">
        <v>33</v>
      </c>
    </row>
    <row r="2" spans="1:10" x14ac:dyDescent="0.3">
      <c r="B2" t="s">
        <v>6</v>
      </c>
      <c r="C2">
        <v>4979</v>
      </c>
      <c r="D2">
        <v>1375</v>
      </c>
      <c r="F2">
        <f>ROUND(IF(D2&gt;2500, D2/1.18, D2/1.05),2)</f>
        <v>1309.52</v>
      </c>
      <c r="H2">
        <f>ROUND(IF(D2&gt;2500, D2/1.18, D2/1.05),2)</f>
        <v>1309.52</v>
      </c>
      <c r="I2">
        <f>D2-F2</f>
        <v>65.480000000000018</v>
      </c>
      <c r="J2">
        <f>SUM(H2:I2)</f>
        <v>1375</v>
      </c>
    </row>
    <row r="3" spans="1:10" x14ac:dyDescent="0.3">
      <c r="B3" t="s">
        <v>6</v>
      </c>
      <c r="C3">
        <v>4980</v>
      </c>
      <c r="D3">
        <v>1950</v>
      </c>
      <c r="F3">
        <f t="shared" ref="F3:F66" si="0">ROUND(IF(D3&gt;2500, D3/1.18, D3/1.05),2)</f>
        <v>1857.14</v>
      </c>
      <c r="H3">
        <f t="shared" ref="H3:H66" si="1">ROUND(IF(D3&gt;2500, D3/1.18, D3/1.05),2)</f>
        <v>1857.14</v>
      </c>
      <c r="I3">
        <f t="shared" ref="I3:I66" si="2">D3-F3</f>
        <v>92.8599999999999</v>
      </c>
      <c r="J3">
        <f t="shared" ref="J3:J66" si="3">SUM(H3:I3)</f>
        <v>1950</v>
      </c>
    </row>
    <row r="4" spans="1:10" x14ac:dyDescent="0.3">
      <c r="B4" t="s">
        <v>6</v>
      </c>
      <c r="C4">
        <v>4907</v>
      </c>
      <c r="D4">
        <v>1250</v>
      </c>
      <c r="F4">
        <f t="shared" si="0"/>
        <v>1190.48</v>
      </c>
      <c r="H4">
        <f t="shared" si="1"/>
        <v>1190.48</v>
      </c>
      <c r="I4">
        <f t="shared" si="2"/>
        <v>59.519999999999982</v>
      </c>
      <c r="J4">
        <f t="shared" si="3"/>
        <v>1250</v>
      </c>
    </row>
    <row r="5" spans="1:10" x14ac:dyDescent="0.3">
      <c r="B5" t="s">
        <v>6</v>
      </c>
      <c r="C5">
        <v>3676</v>
      </c>
      <c r="D5">
        <v>1175</v>
      </c>
      <c r="F5">
        <f t="shared" si="0"/>
        <v>1119.05</v>
      </c>
      <c r="H5">
        <f t="shared" si="1"/>
        <v>1119.05</v>
      </c>
      <c r="I5">
        <f t="shared" si="2"/>
        <v>55.950000000000045</v>
      </c>
      <c r="J5">
        <f t="shared" si="3"/>
        <v>1175</v>
      </c>
    </row>
    <row r="6" spans="1:10" x14ac:dyDescent="0.3">
      <c r="B6" t="s">
        <v>6</v>
      </c>
      <c r="C6">
        <v>2536</v>
      </c>
      <c r="D6">
        <v>2975</v>
      </c>
      <c r="F6">
        <f t="shared" si="0"/>
        <v>2521.19</v>
      </c>
      <c r="H6">
        <f t="shared" si="1"/>
        <v>2521.19</v>
      </c>
      <c r="I6">
        <f t="shared" si="2"/>
        <v>453.80999999999995</v>
      </c>
      <c r="J6">
        <f t="shared" si="3"/>
        <v>2975</v>
      </c>
    </row>
    <row r="7" spans="1:10" x14ac:dyDescent="0.3">
      <c r="B7" t="s">
        <v>6</v>
      </c>
      <c r="C7">
        <v>2416</v>
      </c>
      <c r="D7">
        <v>2250</v>
      </c>
      <c r="F7">
        <f t="shared" si="0"/>
        <v>2142.86</v>
      </c>
      <c r="H7">
        <f t="shared" si="1"/>
        <v>2142.86</v>
      </c>
      <c r="I7">
        <f t="shared" si="2"/>
        <v>107.13999999999987</v>
      </c>
      <c r="J7">
        <f t="shared" si="3"/>
        <v>2250</v>
      </c>
    </row>
    <row r="8" spans="1:10" x14ac:dyDescent="0.3">
      <c r="B8" t="s">
        <v>6</v>
      </c>
      <c r="C8">
        <v>3676</v>
      </c>
      <c r="D8">
        <v>1175</v>
      </c>
      <c r="F8">
        <f t="shared" si="0"/>
        <v>1119.05</v>
      </c>
      <c r="H8">
        <f t="shared" si="1"/>
        <v>1119.05</v>
      </c>
      <c r="I8">
        <f t="shared" si="2"/>
        <v>55.950000000000045</v>
      </c>
      <c r="J8">
        <f t="shared" si="3"/>
        <v>1175</v>
      </c>
    </row>
    <row r="9" spans="1:10" x14ac:dyDescent="0.3">
      <c r="B9" t="s">
        <v>6</v>
      </c>
      <c r="C9">
        <v>3676</v>
      </c>
      <c r="D9">
        <v>1175</v>
      </c>
      <c r="F9">
        <f t="shared" si="0"/>
        <v>1119.05</v>
      </c>
      <c r="H9">
        <f t="shared" si="1"/>
        <v>1119.05</v>
      </c>
      <c r="I9">
        <f t="shared" si="2"/>
        <v>55.950000000000045</v>
      </c>
      <c r="J9">
        <f t="shared" si="3"/>
        <v>1175</v>
      </c>
    </row>
    <row r="10" spans="1:10" x14ac:dyDescent="0.3">
      <c r="B10" t="s">
        <v>6</v>
      </c>
      <c r="C10">
        <v>4934</v>
      </c>
      <c r="D10">
        <v>1575</v>
      </c>
      <c r="F10">
        <f t="shared" si="0"/>
        <v>1500</v>
      </c>
      <c r="H10">
        <f t="shared" si="1"/>
        <v>1500</v>
      </c>
      <c r="I10">
        <f t="shared" si="2"/>
        <v>75</v>
      </c>
      <c r="J10">
        <f t="shared" si="3"/>
        <v>1575</v>
      </c>
    </row>
    <row r="11" spans="1:10" x14ac:dyDescent="0.3">
      <c r="B11" t="s">
        <v>6</v>
      </c>
      <c r="C11">
        <v>2429</v>
      </c>
      <c r="D11">
        <v>2575</v>
      </c>
      <c r="F11">
        <f t="shared" si="0"/>
        <v>2182.1999999999998</v>
      </c>
      <c r="H11">
        <f t="shared" si="1"/>
        <v>2182.1999999999998</v>
      </c>
      <c r="I11">
        <f t="shared" si="2"/>
        <v>392.80000000000018</v>
      </c>
      <c r="J11">
        <f t="shared" si="3"/>
        <v>2575</v>
      </c>
    </row>
    <row r="12" spans="1:10" x14ac:dyDescent="0.3">
      <c r="B12" t="s">
        <v>6</v>
      </c>
      <c r="C12">
        <v>2535</v>
      </c>
      <c r="D12">
        <v>2995</v>
      </c>
      <c r="F12">
        <f t="shared" si="0"/>
        <v>2538.14</v>
      </c>
      <c r="H12">
        <f t="shared" si="1"/>
        <v>2538.14</v>
      </c>
      <c r="I12">
        <f t="shared" si="2"/>
        <v>456.86000000000013</v>
      </c>
      <c r="J12">
        <f t="shared" si="3"/>
        <v>2995</v>
      </c>
    </row>
    <row r="13" spans="1:10" x14ac:dyDescent="0.3">
      <c r="B13" t="s">
        <v>6</v>
      </c>
      <c r="C13">
        <v>4904</v>
      </c>
      <c r="D13">
        <v>1575</v>
      </c>
      <c r="F13">
        <f t="shared" si="0"/>
        <v>1500</v>
      </c>
      <c r="H13">
        <f t="shared" si="1"/>
        <v>1500</v>
      </c>
      <c r="I13">
        <f t="shared" si="2"/>
        <v>75</v>
      </c>
      <c r="J13">
        <f t="shared" si="3"/>
        <v>1575</v>
      </c>
    </row>
    <row r="14" spans="1:10" x14ac:dyDescent="0.3">
      <c r="B14" t="s">
        <v>6</v>
      </c>
      <c r="C14">
        <v>4854</v>
      </c>
      <c r="D14">
        <v>1950</v>
      </c>
      <c r="F14">
        <f t="shared" si="0"/>
        <v>1857.14</v>
      </c>
      <c r="H14">
        <f t="shared" si="1"/>
        <v>1857.14</v>
      </c>
      <c r="I14">
        <f t="shared" si="2"/>
        <v>92.8599999999999</v>
      </c>
      <c r="J14">
        <f t="shared" si="3"/>
        <v>1950</v>
      </c>
    </row>
    <row r="15" spans="1:10" x14ac:dyDescent="0.3">
      <c r="B15" t="s">
        <v>6</v>
      </c>
      <c r="C15">
        <v>3676</v>
      </c>
      <c r="D15">
        <v>1175</v>
      </c>
      <c r="F15">
        <f t="shared" si="0"/>
        <v>1119.05</v>
      </c>
      <c r="H15">
        <f t="shared" si="1"/>
        <v>1119.05</v>
      </c>
      <c r="I15">
        <f t="shared" si="2"/>
        <v>55.950000000000045</v>
      </c>
      <c r="J15">
        <f t="shared" si="3"/>
        <v>1175</v>
      </c>
    </row>
    <row r="16" spans="1:10" x14ac:dyDescent="0.3">
      <c r="B16" t="s">
        <v>6</v>
      </c>
      <c r="C16">
        <v>1906</v>
      </c>
      <c r="D16">
        <v>1975</v>
      </c>
      <c r="F16">
        <f t="shared" si="0"/>
        <v>1880.95</v>
      </c>
      <c r="H16">
        <f t="shared" si="1"/>
        <v>1880.95</v>
      </c>
      <c r="I16">
        <f t="shared" si="2"/>
        <v>94.049999999999955</v>
      </c>
      <c r="J16">
        <f t="shared" si="3"/>
        <v>1975</v>
      </c>
    </row>
    <row r="17" spans="2:10" x14ac:dyDescent="0.3">
      <c r="B17" t="s">
        <v>6</v>
      </c>
      <c r="C17">
        <v>4939</v>
      </c>
      <c r="D17">
        <v>1975</v>
      </c>
      <c r="F17">
        <f t="shared" si="0"/>
        <v>1880.95</v>
      </c>
      <c r="H17">
        <f t="shared" si="1"/>
        <v>1880.95</v>
      </c>
      <c r="I17">
        <f t="shared" si="2"/>
        <v>94.049999999999955</v>
      </c>
      <c r="J17">
        <f t="shared" si="3"/>
        <v>1975</v>
      </c>
    </row>
    <row r="18" spans="2:10" x14ac:dyDescent="0.3">
      <c r="B18" t="s">
        <v>6</v>
      </c>
      <c r="C18">
        <v>4853</v>
      </c>
      <c r="D18">
        <v>1975</v>
      </c>
      <c r="F18">
        <f t="shared" si="0"/>
        <v>1880.95</v>
      </c>
      <c r="H18">
        <f t="shared" si="1"/>
        <v>1880.95</v>
      </c>
      <c r="I18">
        <f t="shared" si="2"/>
        <v>94.049999999999955</v>
      </c>
      <c r="J18">
        <f t="shared" si="3"/>
        <v>1975</v>
      </c>
    </row>
    <row r="19" spans="2:10" x14ac:dyDescent="0.3">
      <c r="B19" t="s">
        <v>6</v>
      </c>
      <c r="C19">
        <v>2466</v>
      </c>
      <c r="D19">
        <v>1975</v>
      </c>
      <c r="F19">
        <f t="shared" si="0"/>
        <v>1880.95</v>
      </c>
      <c r="H19">
        <f t="shared" si="1"/>
        <v>1880.95</v>
      </c>
      <c r="I19">
        <f t="shared" si="2"/>
        <v>94.049999999999955</v>
      </c>
      <c r="J19">
        <f t="shared" si="3"/>
        <v>1975</v>
      </c>
    </row>
    <row r="20" spans="2:10" x14ac:dyDescent="0.3">
      <c r="B20" t="s">
        <v>6</v>
      </c>
      <c r="C20">
        <v>2310</v>
      </c>
      <c r="D20">
        <v>1975</v>
      </c>
      <c r="F20">
        <f t="shared" si="0"/>
        <v>1880.95</v>
      </c>
      <c r="H20">
        <f t="shared" si="1"/>
        <v>1880.95</v>
      </c>
      <c r="I20">
        <f t="shared" si="2"/>
        <v>94.049999999999955</v>
      </c>
      <c r="J20">
        <f t="shared" si="3"/>
        <v>1975</v>
      </c>
    </row>
    <row r="21" spans="2:10" x14ac:dyDescent="0.3">
      <c r="B21" t="s">
        <v>6</v>
      </c>
      <c r="C21">
        <v>4947</v>
      </c>
      <c r="D21">
        <v>1975</v>
      </c>
      <c r="F21">
        <f t="shared" si="0"/>
        <v>1880.95</v>
      </c>
      <c r="H21">
        <f t="shared" si="1"/>
        <v>1880.95</v>
      </c>
      <c r="I21">
        <f t="shared" si="2"/>
        <v>94.049999999999955</v>
      </c>
      <c r="J21">
        <f t="shared" si="3"/>
        <v>1975</v>
      </c>
    </row>
    <row r="22" spans="2:10" x14ac:dyDescent="0.3">
      <c r="B22" t="s">
        <v>6</v>
      </c>
      <c r="C22">
        <v>2430</v>
      </c>
      <c r="D22">
        <v>2575</v>
      </c>
      <c r="F22">
        <f t="shared" si="0"/>
        <v>2182.1999999999998</v>
      </c>
      <c r="H22">
        <f t="shared" si="1"/>
        <v>2182.1999999999998</v>
      </c>
      <c r="I22">
        <f t="shared" si="2"/>
        <v>392.80000000000018</v>
      </c>
      <c r="J22">
        <f t="shared" si="3"/>
        <v>2575</v>
      </c>
    </row>
    <row r="23" spans="2:10" x14ac:dyDescent="0.3">
      <c r="B23" t="s">
        <v>6</v>
      </c>
      <c r="C23">
        <v>2099</v>
      </c>
      <c r="D23">
        <v>1850</v>
      </c>
      <c r="F23">
        <f t="shared" si="0"/>
        <v>1761.9</v>
      </c>
      <c r="H23">
        <f t="shared" si="1"/>
        <v>1761.9</v>
      </c>
      <c r="I23">
        <f t="shared" si="2"/>
        <v>88.099999999999909</v>
      </c>
      <c r="J23">
        <f t="shared" si="3"/>
        <v>1850</v>
      </c>
    </row>
    <row r="24" spans="2:10" x14ac:dyDescent="0.3">
      <c r="B24" t="s">
        <v>6</v>
      </c>
      <c r="C24">
        <v>2431</v>
      </c>
      <c r="D24">
        <v>1975</v>
      </c>
      <c r="F24">
        <f t="shared" si="0"/>
        <v>1880.95</v>
      </c>
      <c r="H24">
        <f t="shared" si="1"/>
        <v>1880.95</v>
      </c>
      <c r="I24">
        <f t="shared" si="2"/>
        <v>94.049999999999955</v>
      </c>
      <c r="J24">
        <f t="shared" si="3"/>
        <v>1975</v>
      </c>
    </row>
    <row r="25" spans="2:10" x14ac:dyDescent="0.3">
      <c r="B25" t="s">
        <v>6</v>
      </c>
      <c r="C25">
        <v>2488</v>
      </c>
      <c r="D25">
        <v>1975</v>
      </c>
      <c r="F25">
        <f t="shared" si="0"/>
        <v>1880.95</v>
      </c>
      <c r="H25">
        <f t="shared" si="1"/>
        <v>1880.95</v>
      </c>
      <c r="I25">
        <f t="shared" si="2"/>
        <v>94.049999999999955</v>
      </c>
      <c r="J25">
        <f t="shared" si="3"/>
        <v>1975</v>
      </c>
    </row>
    <row r="26" spans="2:10" x14ac:dyDescent="0.3">
      <c r="B26" t="s">
        <v>6</v>
      </c>
      <c r="C26">
        <v>2515</v>
      </c>
      <c r="D26">
        <v>2275</v>
      </c>
      <c r="F26">
        <f t="shared" si="0"/>
        <v>2166.67</v>
      </c>
      <c r="H26">
        <f t="shared" si="1"/>
        <v>2166.67</v>
      </c>
      <c r="I26">
        <f t="shared" si="2"/>
        <v>108.32999999999993</v>
      </c>
      <c r="J26">
        <f t="shared" si="3"/>
        <v>2275</v>
      </c>
    </row>
    <row r="27" spans="2:10" x14ac:dyDescent="0.3">
      <c r="B27" t="s">
        <v>6</v>
      </c>
      <c r="C27">
        <v>4959</v>
      </c>
      <c r="D27">
        <v>1850</v>
      </c>
      <c r="F27">
        <f t="shared" si="0"/>
        <v>1761.9</v>
      </c>
      <c r="H27">
        <f t="shared" si="1"/>
        <v>1761.9</v>
      </c>
      <c r="I27">
        <f t="shared" si="2"/>
        <v>88.099999999999909</v>
      </c>
      <c r="J27">
        <f t="shared" si="3"/>
        <v>1850</v>
      </c>
    </row>
    <row r="28" spans="2:10" x14ac:dyDescent="0.3">
      <c r="B28" t="s">
        <v>6</v>
      </c>
      <c r="C28">
        <v>2478</v>
      </c>
      <c r="D28">
        <v>1975</v>
      </c>
      <c r="F28">
        <f t="shared" si="0"/>
        <v>1880.95</v>
      </c>
      <c r="H28">
        <f t="shared" si="1"/>
        <v>1880.95</v>
      </c>
      <c r="I28">
        <f t="shared" si="2"/>
        <v>94.049999999999955</v>
      </c>
      <c r="J28">
        <f t="shared" si="3"/>
        <v>1975</v>
      </c>
    </row>
    <row r="29" spans="2:10" x14ac:dyDescent="0.3">
      <c r="B29" t="s">
        <v>6</v>
      </c>
      <c r="C29">
        <v>2533</v>
      </c>
      <c r="D29">
        <v>1950</v>
      </c>
      <c r="F29">
        <f t="shared" si="0"/>
        <v>1857.14</v>
      </c>
      <c r="H29">
        <f t="shared" si="1"/>
        <v>1857.14</v>
      </c>
      <c r="I29">
        <f t="shared" si="2"/>
        <v>92.8599999999999</v>
      </c>
      <c r="J29">
        <f t="shared" si="3"/>
        <v>1950</v>
      </c>
    </row>
    <row r="30" spans="2:10" x14ac:dyDescent="0.3">
      <c r="B30" t="s">
        <v>6</v>
      </c>
      <c r="C30">
        <v>4895</v>
      </c>
      <c r="D30">
        <v>1850</v>
      </c>
      <c r="F30">
        <f t="shared" si="0"/>
        <v>1761.9</v>
      </c>
      <c r="H30">
        <f t="shared" si="1"/>
        <v>1761.9</v>
      </c>
      <c r="I30">
        <f t="shared" si="2"/>
        <v>88.099999999999909</v>
      </c>
      <c r="J30">
        <f t="shared" si="3"/>
        <v>1850</v>
      </c>
    </row>
    <row r="31" spans="2:10" x14ac:dyDescent="0.3">
      <c r="B31" t="s">
        <v>6</v>
      </c>
      <c r="C31">
        <v>2428</v>
      </c>
      <c r="D31">
        <v>1975</v>
      </c>
      <c r="F31">
        <f t="shared" si="0"/>
        <v>1880.95</v>
      </c>
      <c r="H31">
        <f t="shared" si="1"/>
        <v>1880.95</v>
      </c>
      <c r="I31">
        <f t="shared" si="2"/>
        <v>94.049999999999955</v>
      </c>
      <c r="J31">
        <f t="shared" si="3"/>
        <v>1975</v>
      </c>
    </row>
    <row r="32" spans="2:10" x14ac:dyDescent="0.3">
      <c r="B32" t="s">
        <v>6</v>
      </c>
      <c r="C32">
        <v>2437</v>
      </c>
      <c r="D32">
        <v>2750</v>
      </c>
      <c r="F32">
        <f t="shared" si="0"/>
        <v>2330.5100000000002</v>
      </c>
      <c r="H32">
        <f t="shared" si="1"/>
        <v>2330.5100000000002</v>
      </c>
      <c r="I32">
        <f t="shared" si="2"/>
        <v>419.48999999999978</v>
      </c>
      <c r="J32">
        <f t="shared" si="3"/>
        <v>2750</v>
      </c>
    </row>
    <row r="33" spans="2:10" x14ac:dyDescent="0.3">
      <c r="B33" t="s">
        <v>6</v>
      </c>
      <c r="C33">
        <v>4943</v>
      </c>
      <c r="D33">
        <v>1450</v>
      </c>
      <c r="F33">
        <f t="shared" si="0"/>
        <v>1380.95</v>
      </c>
      <c r="H33">
        <f t="shared" si="1"/>
        <v>1380.95</v>
      </c>
      <c r="I33">
        <f t="shared" si="2"/>
        <v>69.049999999999955</v>
      </c>
      <c r="J33">
        <f t="shared" si="3"/>
        <v>1450</v>
      </c>
    </row>
    <row r="34" spans="2:10" x14ac:dyDescent="0.3">
      <c r="B34" t="s">
        <v>6</v>
      </c>
      <c r="C34">
        <v>4998</v>
      </c>
      <c r="D34">
        <v>1875</v>
      </c>
      <c r="F34">
        <f t="shared" si="0"/>
        <v>1785.71</v>
      </c>
      <c r="H34">
        <f t="shared" si="1"/>
        <v>1785.71</v>
      </c>
      <c r="I34">
        <f t="shared" si="2"/>
        <v>89.289999999999964</v>
      </c>
      <c r="J34">
        <f t="shared" si="3"/>
        <v>1875</v>
      </c>
    </row>
    <row r="35" spans="2:10" x14ac:dyDescent="0.3">
      <c r="B35" t="s">
        <v>6</v>
      </c>
      <c r="C35">
        <v>2484</v>
      </c>
      <c r="D35">
        <v>1650</v>
      </c>
      <c r="F35">
        <f t="shared" si="0"/>
        <v>1571.43</v>
      </c>
      <c r="H35">
        <f t="shared" si="1"/>
        <v>1571.43</v>
      </c>
      <c r="I35">
        <f t="shared" si="2"/>
        <v>78.569999999999936</v>
      </c>
      <c r="J35">
        <f t="shared" si="3"/>
        <v>1650</v>
      </c>
    </row>
    <row r="36" spans="2:10" x14ac:dyDescent="0.3">
      <c r="B36" t="s">
        <v>6</v>
      </c>
      <c r="C36">
        <v>4993</v>
      </c>
      <c r="D36">
        <v>1950</v>
      </c>
      <c r="F36">
        <f t="shared" si="0"/>
        <v>1857.14</v>
      </c>
      <c r="H36">
        <f t="shared" si="1"/>
        <v>1857.14</v>
      </c>
      <c r="I36">
        <f t="shared" si="2"/>
        <v>92.8599999999999</v>
      </c>
      <c r="J36">
        <f t="shared" si="3"/>
        <v>1950</v>
      </c>
    </row>
    <row r="37" spans="2:10" x14ac:dyDescent="0.3">
      <c r="B37" t="s">
        <v>6</v>
      </c>
      <c r="C37">
        <v>2435</v>
      </c>
      <c r="D37">
        <v>2750</v>
      </c>
      <c r="F37">
        <f t="shared" si="0"/>
        <v>2330.5100000000002</v>
      </c>
      <c r="H37">
        <f t="shared" si="1"/>
        <v>2330.5100000000002</v>
      </c>
      <c r="I37">
        <f t="shared" si="2"/>
        <v>419.48999999999978</v>
      </c>
      <c r="J37">
        <f t="shared" si="3"/>
        <v>2750</v>
      </c>
    </row>
    <row r="38" spans="2:10" x14ac:dyDescent="0.3">
      <c r="B38" t="s">
        <v>6</v>
      </c>
      <c r="C38">
        <v>2483</v>
      </c>
      <c r="D38">
        <v>1975</v>
      </c>
      <c r="F38">
        <f t="shared" si="0"/>
        <v>1880.95</v>
      </c>
      <c r="H38">
        <f t="shared" si="1"/>
        <v>1880.95</v>
      </c>
      <c r="I38">
        <f t="shared" si="2"/>
        <v>94.049999999999955</v>
      </c>
      <c r="J38">
        <f t="shared" si="3"/>
        <v>1975</v>
      </c>
    </row>
    <row r="39" spans="2:10" x14ac:dyDescent="0.3">
      <c r="B39" t="s">
        <v>6</v>
      </c>
      <c r="C39">
        <v>3676</v>
      </c>
      <c r="D39">
        <v>1175</v>
      </c>
      <c r="F39">
        <f t="shared" si="0"/>
        <v>1119.05</v>
      </c>
      <c r="H39">
        <f t="shared" si="1"/>
        <v>1119.05</v>
      </c>
      <c r="I39">
        <f t="shared" si="2"/>
        <v>55.950000000000045</v>
      </c>
      <c r="J39">
        <f t="shared" si="3"/>
        <v>1175</v>
      </c>
    </row>
    <row r="40" spans="2:10" x14ac:dyDescent="0.3">
      <c r="B40" t="s">
        <v>6</v>
      </c>
      <c r="C40">
        <v>2407</v>
      </c>
      <c r="D40">
        <v>1975</v>
      </c>
      <c r="F40">
        <f t="shared" si="0"/>
        <v>1880.95</v>
      </c>
      <c r="H40">
        <f t="shared" si="1"/>
        <v>1880.95</v>
      </c>
      <c r="I40">
        <f t="shared" si="2"/>
        <v>94.049999999999955</v>
      </c>
      <c r="J40">
        <f t="shared" si="3"/>
        <v>1975</v>
      </c>
    </row>
    <row r="41" spans="2:10" x14ac:dyDescent="0.3">
      <c r="B41" t="s">
        <v>6</v>
      </c>
      <c r="C41">
        <v>2404</v>
      </c>
      <c r="D41">
        <v>1650</v>
      </c>
      <c r="F41">
        <f t="shared" si="0"/>
        <v>1571.43</v>
      </c>
      <c r="H41">
        <f t="shared" si="1"/>
        <v>1571.43</v>
      </c>
      <c r="I41">
        <f t="shared" si="2"/>
        <v>78.569999999999936</v>
      </c>
      <c r="J41">
        <f t="shared" si="3"/>
        <v>1650</v>
      </c>
    </row>
    <row r="42" spans="2:10" x14ac:dyDescent="0.3">
      <c r="B42" t="s">
        <v>6</v>
      </c>
      <c r="C42">
        <v>2487</v>
      </c>
      <c r="D42">
        <v>1975</v>
      </c>
      <c r="F42">
        <f t="shared" si="0"/>
        <v>1880.95</v>
      </c>
      <c r="H42">
        <f t="shared" si="1"/>
        <v>1880.95</v>
      </c>
      <c r="I42">
        <f t="shared" si="2"/>
        <v>94.049999999999955</v>
      </c>
      <c r="J42">
        <f t="shared" si="3"/>
        <v>1975</v>
      </c>
    </row>
    <row r="43" spans="2:10" x14ac:dyDescent="0.3">
      <c r="B43" t="s">
        <v>6</v>
      </c>
      <c r="C43">
        <v>4999</v>
      </c>
      <c r="D43">
        <v>1850</v>
      </c>
      <c r="F43">
        <f t="shared" si="0"/>
        <v>1761.9</v>
      </c>
      <c r="H43">
        <f t="shared" si="1"/>
        <v>1761.9</v>
      </c>
      <c r="I43">
        <f t="shared" si="2"/>
        <v>88.099999999999909</v>
      </c>
      <c r="J43">
        <f t="shared" si="3"/>
        <v>1850</v>
      </c>
    </row>
    <row r="44" spans="2:10" x14ac:dyDescent="0.3">
      <c r="B44" t="s">
        <v>6</v>
      </c>
      <c r="C44">
        <v>2405</v>
      </c>
      <c r="D44">
        <v>1975</v>
      </c>
      <c r="F44">
        <f t="shared" si="0"/>
        <v>1880.95</v>
      </c>
      <c r="H44">
        <f t="shared" si="1"/>
        <v>1880.95</v>
      </c>
      <c r="I44">
        <f t="shared" si="2"/>
        <v>94.049999999999955</v>
      </c>
      <c r="J44">
        <f t="shared" si="3"/>
        <v>1975</v>
      </c>
    </row>
    <row r="45" spans="2:10" x14ac:dyDescent="0.3">
      <c r="B45" t="s">
        <v>6</v>
      </c>
      <c r="C45">
        <v>2401</v>
      </c>
      <c r="D45">
        <v>2275</v>
      </c>
      <c r="F45">
        <f t="shared" si="0"/>
        <v>2166.67</v>
      </c>
      <c r="H45">
        <f t="shared" si="1"/>
        <v>2166.67</v>
      </c>
      <c r="I45">
        <f t="shared" si="2"/>
        <v>108.32999999999993</v>
      </c>
      <c r="J45">
        <f t="shared" si="3"/>
        <v>2275</v>
      </c>
    </row>
    <row r="46" spans="2:10" x14ac:dyDescent="0.3">
      <c r="B46" t="s">
        <v>6</v>
      </c>
      <c r="C46">
        <v>2531</v>
      </c>
      <c r="D46">
        <v>1975</v>
      </c>
      <c r="F46">
        <f t="shared" si="0"/>
        <v>1880.95</v>
      </c>
      <c r="H46">
        <f t="shared" si="1"/>
        <v>1880.95</v>
      </c>
      <c r="I46">
        <f t="shared" si="2"/>
        <v>94.049999999999955</v>
      </c>
      <c r="J46">
        <f t="shared" si="3"/>
        <v>1975</v>
      </c>
    </row>
    <row r="47" spans="2:10" x14ac:dyDescent="0.3">
      <c r="B47" t="s">
        <v>6</v>
      </c>
      <c r="C47">
        <v>1910</v>
      </c>
      <c r="D47">
        <v>2375</v>
      </c>
      <c r="F47">
        <f t="shared" si="0"/>
        <v>2261.9</v>
      </c>
      <c r="H47">
        <f t="shared" si="1"/>
        <v>2261.9</v>
      </c>
      <c r="I47">
        <f t="shared" si="2"/>
        <v>113.09999999999991</v>
      </c>
      <c r="J47">
        <f t="shared" si="3"/>
        <v>2375</v>
      </c>
    </row>
    <row r="48" spans="2:10" x14ac:dyDescent="0.3">
      <c r="B48" t="s">
        <v>6</v>
      </c>
      <c r="C48">
        <v>2425</v>
      </c>
      <c r="D48">
        <v>2750</v>
      </c>
      <c r="F48">
        <f t="shared" si="0"/>
        <v>2330.5100000000002</v>
      </c>
      <c r="H48">
        <f t="shared" si="1"/>
        <v>2330.5100000000002</v>
      </c>
      <c r="I48">
        <f t="shared" si="2"/>
        <v>419.48999999999978</v>
      </c>
      <c r="J48">
        <f t="shared" si="3"/>
        <v>2750</v>
      </c>
    </row>
    <row r="49" spans="2:10" x14ac:dyDescent="0.3">
      <c r="B49" t="s">
        <v>6</v>
      </c>
      <c r="C49">
        <v>2414</v>
      </c>
      <c r="D49">
        <v>2250</v>
      </c>
      <c r="F49">
        <f t="shared" si="0"/>
        <v>2142.86</v>
      </c>
      <c r="H49">
        <f t="shared" si="1"/>
        <v>2142.86</v>
      </c>
      <c r="I49">
        <f t="shared" si="2"/>
        <v>107.13999999999987</v>
      </c>
      <c r="J49">
        <f t="shared" si="3"/>
        <v>2250</v>
      </c>
    </row>
    <row r="50" spans="2:10" x14ac:dyDescent="0.3">
      <c r="B50" t="s">
        <v>6</v>
      </c>
      <c r="C50">
        <v>3369</v>
      </c>
      <c r="D50">
        <v>2275</v>
      </c>
      <c r="F50">
        <f t="shared" si="0"/>
        <v>2166.67</v>
      </c>
      <c r="H50">
        <f t="shared" si="1"/>
        <v>2166.67</v>
      </c>
      <c r="I50">
        <f t="shared" si="2"/>
        <v>108.32999999999993</v>
      </c>
      <c r="J50">
        <f t="shared" si="3"/>
        <v>2275</v>
      </c>
    </row>
    <row r="51" spans="2:10" x14ac:dyDescent="0.3">
      <c r="B51" t="s">
        <v>6</v>
      </c>
      <c r="C51">
        <v>78</v>
      </c>
      <c r="D51">
        <v>1175</v>
      </c>
      <c r="F51">
        <f t="shared" si="0"/>
        <v>1119.05</v>
      </c>
      <c r="H51">
        <f t="shared" si="1"/>
        <v>1119.05</v>
      </c>
      <c r="I51">
        <f t="shared" si="2"/>
        <v>55.950000000000045</v>
      </c>
      <c r="J51">
        <f t="shared" si="3"/>
        <v>1175</v>
      </c>
    </row>
    <row r="52" spans="2:10" x14ac:dyDescent="0.3">
      <c r="B52" t="s">
        <v>6</v>
      </c>
      <c r="C52">
        <v>2546</v>
      </c>
      <c r="D52">
        <v>2275</v>
      </c>
      <c r="F52">
        <f t="shared" si="0"/>
        <v>2166.67</v>
      </c>
      <c r="H52">
        <f t="shared" si="1"/>
        <v>2166.67</v>
      </c>
      <c r="I52">
        <f t="shared" si="2"/>
        <v>108.32999999999993</v>
      </c>
      <c r="J52">
        <f t="shared" si="3"/>
        <v>2275</v>
      </c>
    </row>
    <row r="53" spans="2:10" x14ac:dyDescent="0.3">
      <c r="B53" t="s">
        <v>6</v>
      </c>
      <c r="C53">
        <v>2542</v>
      </c>
      <c r="D53">
        <v>2575</v>
      </c>
      <c r="F53">
        <f t="shared" si="0"/>
        <v>2182.1999999999998</v>
      </c>
      <c r="H53">
        <f t="shared" si="1"/>
        <v>2182.1999999999998</v>
      </c>
      <c r="I53">
        <f t="shared" si="2"/>
        <v>392.80000000000018</v>
      </c>
      <c r="J53">
        <f t="shared" si="3"/>
        <v>2575</v>
      </c>
    </row>
    <row r="54" spans="2:10" x14ac:dyDescent="0.3">
      <c r="B54" t="s">
        <v>6</v>
      </c>
      <c r="C54">
        <v>2449</v>
      </c>
      <c r="D54">
        <v>2275</v>
      </c>
      <c r="F54">
        <f t="shared" si="0"/>
        <v>2166.67</v>
      </c>
      <c r="H54">
        <f t="shared" si="1"/>
        <v>2166.67</v>
      </c>
      <c r="I54">
        <f t="shared" si="2"/>
        <v>108.32999999999993</v>
      </c>
      <c r="J54">
        <f t="shared" si="3"/>
        <v>2275</v>
      </c>
    </row>
    <row r="55" spans="2:10" x14ac:dyDescent="0.3">
      <c r="B55" t="s">
        <v>6</v>
      </c>
      <c r="C55">
        <v>2415</v>
      </c>
      <c r="D55">
        <v>2250</v>
      </c>
      <c r="F55">
        <f t="shared" si="0"/>
        <v>2142.86</v>
      </c>
      <c r="H55">
        <f t="shared" si="1"/>
        <v>2142.86</v>
      </c>
      <c r="I55">
        <f t="shared" si="2"/>
        <v>107.13999999999987</v>
      </c>
      <c r="J55">
        <f t="shared" si="3"/>
        <v>2250</v>
      </c>
    </row>
    <row r="56" spans="2:10" x14ac:dyDescent="0.3">
      <c r="B56" t="s">
        <v>6</v>
      </c>
      <c r="C56">
        <v>2057</v>
      </c>
      <c r="D56">
        <v>2550</v>
      </c>
      <c r="F56">
        <f t="shared" si="0"/>
        <v>2161.02</v>
      </c>
      <c r="H56">
        <f t="shared" si="1"/>
        <v>2161.02</v>
      </c>
      <c r="I56">
        <f t="shared" si="2"/>
        <v>388.98</v>
      </c>
      <c r="J56">
        <f t="shared" si="3"/>
        <v>2550</v>
      </c>
    </row>
    <row r="57" spans="2:10" x14ac:dyDescent="0.3">
      <c r="B57" t="s">
        <v>6</v>
      </c>
      <c r="C57">
        <v>4885</v>
      </c>
      <c r="D57">
        <v>2750</v>
      </c>
      <c r="F57">
        <f t="shared" si="0"/>
        <v>2330.5100000000002</v>
      </c>
      <c r="H57">
        <f t="shared" si="1"/>
        <v>2330.5100000000002</v>
      </c>
      <c r="I57">
        <f t="shared" si="2"/>
        <v>419.48999999999978</v>
      </c>
      <c r="J57">
        <f t="shared" si="3"/>
        <v>2750</v>
      </c>
    </row>
    <row r="58" spans="2:10" x14ac:dyDescent="0.3">
      <c r="B58" t="s">
        <v>6</v>
      </c>
      <c r="C58">
        <v>2420</v>
      </c>
      <c r="D58">
        <v>2250</v>
      </c>
      <c r="F58">
        <f t="shared" si="0"/>
        <v>2142.86</v>
      </c>
      <c r="H58">
        <f t="shared" si="1"/>
        <v>2142.86</v>
      </c>
      <c r="I58">
        <f t="shared" si="2"/>
        <v>107.13999999999987</v>
      </c>
      <c r="J58">
        <f t="shared" si="3"/>
        <v>2250</v>
      </c>
    </row>
    <row r="59" spans="2:10" x14ac:dyDescent="0.3">
      <c r="B59" t="s">
        <v>6</v>
      </c>
      <c r="C59">
        <v>4975</v>
      </c>
      <c r="D59">
        <v>1550</v>
      </c>
      <c r="F59">
        <f t="shared" si="0"/>
        <v>1476.19</v>
      </c>
      <c r="H59">
        <f t="shared" si="1"/>
        <v>1476.19</v>
      </c>
      <c r="I59">
        <f t="shared" si="2"/>
        <v>73.809999999999945</v>
      </c>
      <c r="J59">
        <f t="shared" si="3"/>
        <v>1550</v>
      </c>
    </row>
    <row r="60" spans="2:10" x14ac:dyDescent="0.3">
      <c r="B60" t="s">
        <v>6</v>
      </c>
      <c r="C60">
        <v>4983</v>
      </c>
      <c r="D60">
        <v>1450</v>
      </c>
      <c r="F60">
        <f t="shared" si="0"/>
        <v>1380.95</v>
      </c>
      <c r="H60">
        <f t="shared" si="1"/>
        <v>1380.95</v>
      </c>
      <c r="I60">
        <f t="shared" si="2"/>
        <v>69.049999999999955</v>
      </c>
      <c r="J60">
        <f t="shared" si="3"/>
        <v>1450</v>
      </c>
    </row>
    <row r="61" spans="2:10" x14ac:dyDescent="0.3">
      <c r="B61" t="s">
        <v>6</v>
      </c>
      <c r="C61">
        <v>3676</v>
      </c>
      <c r="D61">
        <v>1175</v>
      </c>
      <c r="F61">
        <f t="shared" si="0"/>
        <v>1119.05</v>
      </c>
      <c r="H61">
        <f t="shared" si="1"/>
        <v>1119.05</v>
      </c>
      <c r="I61">
        <f t="shared" si="2"/>
        <v>55.950000000000045</v>
      </c>
      <c r="J61">
        <f t="shared" si="3"/>
        <v>1175</v>
      </c>
    </row>
    <row r="62" spans="2:10" x14ac:dyDescent="0.3">
      <c r="B62" t="s">
        <v>6</v>
      </c>
      <c r="C62">
        <v>2094</v>
      </c>
      <c r="D62">
        <v>2280</v>
      </c>
      <c r="F62">
        <f t="shared" si="0"/>
        <v>2171.4299999999998</v>
      </c>
      <c r="H62">
        <f t="shared" si="1"/>
        <v>2171.4299999999998</v>
      </c>
      <c r="I62">
        <f t="shared" si="2"/>
        <v>108.57000000000016</v>
      </c>
      <c r="J62">
        <f t="shared" si="3"/>
        <v>2280</v>
      </c>
    </row>
    <row r="63" spans="2:10" x14ac:dyDescent="0.3">
      <c r="B63" t="s">
        <v>6</v>
      </c>
      <c r="C63">
        <v>3997</v>
      </c>
      <c r="D63">
        <v>799</v>
      </c>
      <c r="E63">
        <v>5</v>
      </c>
      <c r="F63">
        <f t="shared" si="0"/>
        <v>760.95</v>
      </c>
      <c r="H63">
        <f t="shared" si="1"/>
        <v>760.95</v>
      </c>
      <c r="I63">
        <f t="shared" si="2"/>
        <v>38.049999999999955</v>
      </c>
      <c r="J63">
        <f t="shared" si="3"/>
        <v>799</v>
      </c>
    </row>
    <row r="64" spans="2:10" x14ac:dyDescent="0.3">
      <c r="B64" t="s">
        <v>6</v>
      </c>
      <c r="C64">
        <v>3676</v>
      </c>
      <c r="D64">
        <v>1175</v>
      </c>
      <c r="F64">
        <f t="shared" si="0"/>
        <v>1119.05</v>
      </c>
      <c r="H64">
        <f t="shared" si="1"/>
        <v>1119.05</v>
      </c>
      <c r="I64">
        <f t="shared" si="2"/>
        <v>55.950000000000045</v>
      </c>
      <c r="J64">
        <f t="shared" si="3"/>
        <v>1175</v>
      </c>
    </row>
    <row r="65" spans="2:10" x14ac:dyDescent="0.3">
      <c r="B65" t="s">
        <v>6</v>
      </c>
      <c r="C65">
        <v>5539</v>
      </c>
      <c r="D65">
        <v>2975</v>
      </c>
      <c r="F65">
        <f t="shared" si="0"/>
        <v>2521.19</v>
      </c>
      <c r="H65">
        <f t="shared" si="1"/>
        <v>2521.19</v>
      </c>
      <c r="I65">
        <f t="shared" si="2"/>
        <v>453.80999999999995</v>
      </c>
      <c r="J65">
        <f t="shared" si="3"/>
        <v>2975</v>
      </c>
    </row>
    <row r="66" spans="2:10" x14ac:dyDescent="0.3">
      <c r="B66" t="s">
        <v>6</v>
      </c>
      <c r="C66">
        <v>4894</v>
      </c>
      <c r="D66">
        <v>3650</v>
      </c>
      <c r="F66">
        <f t="shared" si="0"/>
        <v>3093.22</v>
      </c>
      <c r="H66">
        <f t="shared" si="1"/>
        <v>3093.22</v>
      </c>
      <c r="I66">
        <f t="shared" si="2"/>
        <v>556.7800000000002</v>
      </c>
      <c r="J66">
        <f t="shared" si="3"/>
        <v>3650</v>
      </c>
    </row>
    <row r="67" spans="2:10" x14ac:dyDescent="0.3">
      <c r="B67" t="s">
        <v>6</v>
      </c>
      <c r="C67">
        <v>5553</v>
      </c>
      <c r="D67">
        <v>2975</v>
      </c>
      <c r="F67">
        <f t="shared" ref="F67:F99" si="4">ROUND(IF(D67&gt;2500, D67/1.18, D67/1.05),2)</f>
        <v>2521.19</v>
      </c>
      <c r="H67">
        <f t="shared" ref="H67:H99" si="5">ROUND(IF(D67&gt;2500, D67/1.18, D67/1.05),2)</f>
        <v>2521.19</v>
      </c>
      <c r="I67">
        <f t="shared" ref="I67:I99" si="6">D67-F67</f>
        <v>453.80999999999995</v>
      </c>
      <c r="J67">
        <f t="shared" ref="J67:J99" si="7">SUM(H67:I67)</f>
        <v>2975</v>
      </c>
    </row>
    <row r="68" spans="2:10" x14ac:dyDescent="0.3">
      <c r="B68" t="s">
        <v>6</v>
      </c>
      <c r="C68">
        <v>3997</v>
      </c>
      <c r="D68">
        <v>799</v>
      </c>
      <c r="E68">
        <v>4</v>
      </c>
      <c r="F68">
        <f t="shared" si="4"/>
        <v>760.95</v>
      </c>
      <c r="H68">
        <f t="shared" si="5"/>
        <v>760.95</v>
      </c>
      <c r="I68">
        <f t="shared" si="6"/>
        <v>38.049999999999955</v>
      </c>
      <c r="J68">
        <f t="shared" si="7"/>
        <v>799</v>
      </c>
    </row>
    <row r="69" spans="2:10" x14ac:dyDescent="0.3">
      <c r="B69" t="s">
        <v>6</v>
      </c>
      <c r="C69">
        <v>5538</v>
      </c>
      <c r="D69">
        <v>2575</v>
      </c>
      <c r="F69">
        <f t="shared" si="4"/>
        <v>2182.1999999999998</v>
      </c>
      <c r="H69">
        <f t="shared" si="5"/>
        <v>2182.1999999999998</v>
      </c>
      <c r="I69">
        <f t="shared" si="6"/>
        <v>392.80000000000018</v>
      </c>
      <c r="J69">
        <f t="shared" si="7"/>
        <v>2575</v>
      </c>
    </row>
    <row r="70" spans="2:10" x14ac:dyDescent="0.3">
      <c r="B70" t="s">
        <v>6</v>
      </c>
      <c r="C70">
        <v>5556</v>
      </c>
      <c r="D70">
        <v>2575</v>
      </c>
      <c r="F70">
        <f t="shared" si="4"/>
        <v>2182.1999999999998</v>
      </c>
      <c r="H70">
        <f t="shared" si="5"/>
        <v>2182.1999999999998</v>
      </c>
      <c r="I70">
        <f t="shared" si="6"/>
        <v>392.80000000000018</v>
      </c>
      <c r="J70">
        <f t="shared" si="7"/>
        <v>2575</v>
      </c>
    </row>
    <row r="71" spans="2:10" x14ac:dyDescent="0.3">
      <c r="B71" t="s">
        <v>6</v>
      </c>
      <c r="C71">
        <v>2514</v>
      </c>
      <c r="D71">
        <v>1975</v>
      </c>
      <c r="F71">
        <f t="shared" si="4"/>
        <v>1880.95</v>
      </c>
      <c r="H71">
        <f t="shared" si="5"/>
        <v>1880.95</v>
      </c>
      <c r="I71">
        <f t="shared" si="6"/>
        <v>94.049999999999955</v>
      </c>
      <c r="J71">
        <f t="shared" si="7"/>
        <v>1975</v>
      </c>
    </row>
    <row r="72" spans="2:10" x14ac:dyDescent="0.3">
      <c r="B72" t="s">
        <v>6</v>
      </c>
      <c r="C72">
        <v>3355</v>
      </c>
      <c r="D72">
        <v>2875</v>
      </c>
      <c r="F72">
        <f t="shared" si="4"/>
        <v>2436.44</v>
      </c>
      <c r="H72">
        <f t="shared" si="5"/>
        <v>2436.44</v>
      </c>
      <c r="I72">
        <f t="shared" si="6"/>
        <v>438.55999999999995</v>
      </c>
      <c r="J72">
        <f t="shared" si="7"/>
        <v>2875</v>
      </c>
    </row>
    <row r="73" spans="2:10" x14ac:dyDescent="0.3">
      <c r="B73" t="s">
        <v>6</v>
      </c>
      <c r="C73">
        <v>2409</v>
      </c>
      <c r="D73">
        <v>2275</v>
      </c>
      <c r="F73">
        <f t="shared" si="4"/>
        <v>2166.67</v>
      </c>
      <c r="H73">
        <f t="shared" si="5"/>
        <v>2166.67</v>
      </c>
      <c r="I73">
        <f t="shared" si="6"/>
        <v>108.32999999999993</v>
      </c>
      <c r="J73">
        <f t="shared" si="7"/>
        <v>2275</v>
      </c>
    </row>
    <row r="74" spans="2:10" x14ac:dyDescent="0.3">
      <c r="B74" t="s">
        <v>6</v>
      </c>
      <c r="C74">
        <v>5540</v>
      </c>
      <c r="D74">
        <v>2975</v>
      </c>
      <c r="F74">
        <f t="shared" si="4"/>
        <v>2521.19</v>
      </c>
      <c r="H74">
        <f t="shared" si="5"/>
        <v>2521.19</v>
      </c>
      <c r="I74">
        <f t="shared" si="6"/>
        <v>453.80999999999995</v>
      </c>
      <c r="J74">
        <f t="shared" si="7"/>
        <v>2975</v>
      </c>
    </row>
    <row r="75" spans="2:10" x14ac:dyDescent="0.3">
      <c r="B75" t="s">
        <v>6</v>
      </c>
      <c r="C75">
        <v>4908</v>
      </c>
      <c r="D75">
        <v>1550</v>
      </c>
      <c r="F75">
        <f t="shared" si="4"/>
        <v>1476.19</v>
      </c>
      <c r="H75">
        <f t="shared" si="5"/>
        <v>1476.19</v>
      </c>
      <c r="I75">
        <f t="shared" si="6"/>
        <v>73.809999999999945</v>
      </c>
      <c r="J75">
        <f t="shared" si="7"/>
        <v>1550</v>
      </c>
    </row>
    <row r="76" spans="2:10" x14ac:dyDescent="0.3">
      <c r="B76" t="s">
        <v>6</v>
      </c>
      <c r="C76">
        <v>5551</v>
      </c>
      <c r="D76">
        <v>4775</v>
      </c>
      <c r="F76">
        <f t="shared" si="4"/>
        <v>4046.61</v>
      </c>
      <c r="H76">
        <f t="shared" si="5"/>
        <v>4046.61</v>
      </c>
      <c r="I76">
        <f t="shared" si="6"/>
        <v>728.38999999999987</v>
      </c>
      <c r="J76">
        <f t="shared" si="7"/>
        <v>4775</v>
      </c>
    </row>
    <row r="77" spans="2:10" x14ac:dyDescent="0.3">
      <c r="B77" t="s">
        <v>6</v>
      </c>
      <c r="C77">
        <v>2073</v>
      </c>
      <c r="D77">
        <v>2575</v>
      </c>
      <c r="F77">
        <f t="shared" si="4"/>
        <v>2182.1999999999998</v>
      </c>
      <c r="H77">
        <f t="shared" si="5"/>
        <v>2182.1999999999998</v>
      </c>
      <c r="I77">
        <f t="shared" si="6"/>
        <v>392.80000000000018</v>
      </c>
      <c r="J77">
        <f t="shared" si="7"/>
        <v>2575</v>
      </c>
    </row>
    <row r="78" spans="2:10" x14ac:dyDescent="0.3">
      <c r="B78" t="s">
        <v>6</v>
      </c>
      <c r="C78">
        <v>5554</v>
      </c>
      <c r="D78">
        <v>1975</v>
      </c>
      <c r="F78">
        <f t="shared" si="4"/>
        <v>1880.95</v>
      </c>
      <c r="H78">
        <f t="shared" si="5"/>
        <v>1880.95</v>
      </c>
      <c r="I78">
        <f t="shared" si="6"/>
        <v>94.049999999999955</v>
      </c>
      <c r="J78">
        <f t="shared" si="7"/>
        <v>1975</v>
      </c>
    </row>
    <row r="79" spans="2:10" x14ac:dyDescent="0.3">
      <c r="B79" t="s">
        <v>6</v>
      </c>
      <c r="C79">
        <v>3676</v>
      </c>
      <c r="D79">
        <v>1175</v>
      </c>
      <c r="F79">
        <f t="shared" si="4"/>
        <v>1119.05</v>
      </c>
      <c r="H79">
        <f t="shared" si="5"/>
        <v>1119.05</v>
      </c>
      <c r="I79">
        <f t="shared" si="6"/>
        <v>55.950000000000045</v>
      </c>
      <c r="J79">
        <f t="shared" si="7"/>
        <v>1175</v>
      </c>
    </row>
    <row r="80" spans="2:10" x14ac:dyDescent="0.3">
      <c r="B80" t="s">
        <v>6</v>
      </c>
      <c r="C80">
        <v>5537</v>
      </c>
      <c r="D80">
        <v>2950</v>
      </c>
      <c r="F80">
        <f t="shared" si="4"/>
        <v>2500</v>
      </c>
      <c r="H80">
        <f t="shared" si="5"/>
        <v>2500</v>
      </c>
      <c r="I80">
        <f t="shared" si="6"/>
        <v>450</v>
      </c>
      <c r="J80">
        <f t="shared" si="7"/>
        <v>2950</v>
      </c>
    </row>
    <row r="81" spans="2:10" x14ac:dyDescent="0.3">
      <c r="B81" t="s">
        <v>6</v>
      </c>
      <c r="C81">
        <v>3676</v>
      </c>
      <c r="D81">
        <v>1175</v>
      </c>
      <c r="F81">
        <f t="shared" si="4"/>
        <v>1119.05</v>
      </c>
      <c r="H81">
        <f t="shared" si="5"/>
        <v>1119.05</v>
      </c>
      <c r="I81">
        <f t="shared" si="6"/>
        <v>55.950000000000045</v>
      </c>
      <c r="J81">
        <f t="shared" si="7"/>
        <v>1175</v>
      </c>
    </row>
    <row r="82" spans="2:10" x14ac:dyDescent="0.3">
      <c r="B82" t="s">
        <v>6</v>
      </c>
      <c r="C82">
        <v>2518</v>
      </c>
      <c r="D82">
        <v>2575</v>
      </c>
      <c r="F82">
        <f t="shared" si="4"/>
        <v>2182.1999999999998</v>
      </c>
      <c r="H82">
        <f t="shared" si="5"/>
        <v>2182.1999999999998</v>
      </c>
      <c r="I82">
        <f t="shared" si="6"/>
        <v>392.80000000000018</v>
      </c>
      <c r="J82">
        <f t="shared" si="7"/>
        <v>2575</v>
      </c>
    </row>
    <row r="83" spans="2:10" x14ac:dyDescent="0.3">
      <c r="B83" t="s">
        <v>6</v>
      </c>
      <c r="C83">
        <v>3676</v>
      </c>
      <c r="D83">
        <v>1175</v>
      </c>
      <c r="F83">
        <f t="shared" si="4"/>
        <v>1119.05</v>
      </c>
      <c r="H83">
        <f t="shared" si="5"/>
        <v>1119.05</v>
      </c>
      <c r="I83">
        <f t="shared" si="6"/>
        <v>55.950000000000045</v>
      </c>
      <c r="J83">
        <f t="shared" si="7"/>
        <v>1175</v>
      </c>
    </row>
    <row r="84" spans="2:10" x14ac:dyDescent="0.3">
      <c r="B84" t="s">
        <v>6</v>
      </c>
      <c r="C84">
        <v>4329</v>
      </c>
      <c r="D84">
        <v>1975</v>
      </c>
      <c r="F84">
        <f t="shared" si="4"/>
        <v>1880.95</v>
      </c>
      <c r="H84">
        <f t="shared" si="5"/>
        <v>1880.95</v>
      </c>
      <c r="I84">
        <f t="shared" si="6"/>
        <v>94.049999999999955</v>
      </c>
      <c r="J84">
        <f t="shared" si="7"/>
        <v>1975</v>
      </c>
    </row>
    <row r="85" spans="2:10" x14ac:dyDescent="0.3">
      <c r="F85">
        <f t="shared" si="4"/>
        <v>0</v>
      </c>
      <c r="H85">
        <f t="shared" si="5"/>
        <v>0</v>
      </c>
      <c r="I85">
        <f t="shared" si="6"/>
        <v>0</v>
      </c>
      <c r="J85">
        <f t="shared" si="7"/>
        <v>0</v>
      </c>
    </row>
    <row r="86" spans="2:10" x14ac:dyDescent="0.3">
      <c r="B86" t="s">
        <v>26</v>
      </c>
      <c r="C86">
        <v>6078</v>
      </c>
      <c r="D86">
        <v>3150</v>
      </c>
      <c r="E86" t="s">
        <v>27</v>
      </c>
      <c r="F86">
        <f t="shared" si="4"/>
        <v>2669.49</v>
      </c>
      <c r="H86">
        <f t="shared" si="5"/>
        <v>2669.49</v>
      </c>
      <c r="I86">
        <f t="shared" si="6"/>
        <v>480.51000000000022</v>
      </c>
      <c r="J86">
        <f t="shared" si="7"/>
        <v>3150</v>
      </c>
    </row>
    <row r="87" spans="2:10" x14ac:dyDescent="0.3">
      <c r="B87" t="s">
        <v>26</v>
      </c>
      <c r="C87">
        <v>6094</v>
      </c>
      <c r="D87">
        <v>2325</v>
      </c>
      <c r="F87">
        <f t="shared" si="4"/>
        <v>2214.29</v>
      </c>
      <c r="H87">
        <f t="shared" si="5"/>
        <v>2214.29</v>
      </c>
      <c r="I87">
        <f t="shared" si="6"/>
        <v>110.71000000000004</v>
      </c>
      <c r="J87">
        <f t="shared" si="7"/>
        <v>2325</v>
      </c>
    </row>
    <row r="88" spans="2:10" x14ac:dyDescent="0.3">
      <c r="B88" t="s">
        <v>26</v>
      </c>
      <c r="C88">
        <v>5777</v>
      </c>
      <c r="D88">
        <v>1950</v>
      </c>
      <c r="E88" t="s">
        <v>28</v>
      </c>
      <c r="F88">
        <f t="shared" si="4"/>
        <v>1857.14</v>
      </c>
      <c r="H88">
        <f t="shared" si="5"/>
        <v>1857.14</v>
      </c>
      <c r="I88">
        <f t="shared" si="6"/>
        <v>92.8599999999999</v>
      </c>
      <c r="J88">
        <f t="shared" si="7"/>
        <v>1950</v>
      </c>
    </row>
    <row r="89" spans="2:10" x14ac:dyDescent="0.3">
      <c r="B89" t="s">
        <v>26</v>
      </c>
      <c r="C89">
        <v>5071</v>
      </c>
      <c r="D89">
        <v>1850</v>
      </c>
      <c r="E89" t="s">
        <v>27</v>
      </c>
      <c r="F89">
        <f t="shared" si="4"/>
        <v>1761.9</v>
      </c>
      <c r="H89">
        <f t="shared" si="5"/>
        <v>1761.9</v>
      </c>
      <c r="I89">
        <f t="shared" si="6"/>
        <v>88.099999999999909</v>
      </c>
      <c r="J89">
        <f t="shared" si="7"/>
        <v>1850</v>
      </c>
    </row>
    <row r="90" spans="2:10" x14ac:dyDescent="0.3">
      <c r="B90" t="s">
        <v>26</v>
      </c>
      <c r="C90">
        <v>5947</v>
      </c>
      <c r="D90">
        <v>3225</v>
      </c>
      <c r="E90" t="s">
        <v>29</v>
      </c>
      <c r="F90">
        <f t="shared" si="4"/>
        <v>2733.05</v>
      </c>
      <c r="H90">
        <f t="shared" si="5"/>
        <v>2733.05</v>
      </c>
      <c r="I90">
        <f t="shared" si="6"/>
        <v>491.94999999999982</v>
      </c>
      <c r="J90">
        <f t="shared" si="7"/>
        <v>3225</v>
      </c>
    </row>
    <row r="91" spans="2:10" x14ac:dyDescent="0.3">
      <c r="B91" t="s">
        <v>26</v>
      </c>
      <c r="C91">
        <v>5948</v>
      </c>
      <c r="D91">
        <v>3295</v>
      </c>
      <c r="E91" t="s">
        <v>29</v>
      </c>
      <c r="F91">
        <f t="shared" si="4"/>
        <v>2792.37</v>
      </c>
      <c r="H91">
        <f t="shared" si="5"/>
        <v>2792.37</v>
      </c>
      <c r="I91">
        <f t="shared" si="6"/>
        <v>502.63000000000011</v>
      </c>
      <c r="J91">
        <f t="shared" si="7"/>
        <v>3295</v>
      </c>
    </row>
    <row r="92" spans="2:10" x14ac:dyDescent="0.3">
      <c r="B92" t="s">
        <v>26</v>
      </c>
      <c r="C92">
        <v>6050</v>
      </c>
      <c r="D92">
        <v>2650</v>
      </c>
      <c r="E92" t="s">
        <v>29</v>
      </c>
      <c r="F92">
        <f t="shared" si="4"/>
        <v>2245.7600000000002</v>
      </c>
      <c r="H92">
        <f t="shared" si="5"/>
        <v>2245.7600000000002</v>
      </c>
      <c r="I92">
        <f t="shared" si="6"/>
        <v>404.23999999999978</v>
      </c>
      <c r="J92">
        <f t="shared" si="7"/>
        <v>2650</v>
      </c>
    </row>
    <row r="93" spans="2:10" x14ac:dyDescent="0.3">
      <c r="B93" t="s">
        <v>30</v>
      </c>
      <c r="C93">
        <v>6051</v>
      </c>
      <c r="D93">
        <v>940</v>
      </c>
      <c r="E93" t="s">
        <v>27</v>
      </c>
      <c r="F93">
        <f t="shared" si="4"/>
        <v>895.24</v>
      </c>
      <c r="H93">
        <f t="shared" si="5"/>
        <v>895.24</v>
      </c>
      <c r="I93">
        <f t="shared" si="6"/>
        <v>44.759999999999991</v>
      </c>
      <c r="J93">
        <f t="shared" si="7"/>
        <v>940</v>
      </c>
    </row>
    <row r="94" spans="2:10" x14ac:dyDescent="0.3">
      <c r="B94" t="s">
        <v>31</v>
      </c>
      <c r="C94">
        <v>6209</v>
      </c>
      <c r="D94">
        <v>750</v>
      </c>
      <c r="E94" t="s">
        <v>27</v>
      </c>
      <c r="F94">
        <f t="shared" si="4"/>
        <v>714.29</v>
      </c>
      <c r="H94">
        <f t="shared" si="5"/>
        <v>714.29</v>
      </c>
      <c r="I94">
        <f t="shared" si="6"/>
        <v>35.710000000000036</v>
      </c>
      <c r="J94">
        <f t="shared" si="7"/>
        <v>750</v>
      </c>
    </row>
    <row r="95" spans="2:10" x14ac:dyDescent="0.3">
      <c r="B95" t="s">
        <v>32</v>
      </c>
      <c r="C95">
        <v>5896</v>
      </c>
      <c r="D95">
        <v>655</v>
      </c>
      <c r="E95" t="s">
        <v>27</v>
      </c>
      <c r="F95">
        <f t="shared" si="4"/>
        <v>623.80999999999995</v>
      </c>
      <c r="H95">
        <f t="shared" si="5"/>
        <v>623.80999999999995</v>
      </c>
      <c r="I95">
        <f t="shared" si="6"/>
        <v>31.190000000000055</v>
      </c>
      <c r="J95">
        <f t="shared" si="7"/>
        <v>655</v>
      </c>
    </row>
    <row r="96" spans="2:10" x14ac:dyDescent="0.3">
      <c r="B96" t="s">
        <v>32</v>
      </c>
      <c r="C96">
        <v>5899</v>
      </c>
      <c r="D96">
        <v>655</v>
      </c>
      <c r="E96" t="s">
        <v>29</v>
      </c>
      <c r="F96">
        <f t="shared" si="4"/>
        <v>623.80999999999995</v>
      </c>
      <c r="H96">
        <f t="shared" si="5"/>
        <v>623.80999999999995</v>
      </c>
      <c r="I96">
        <f t="shared" si="6"/>
        <v>31.190000000000055</v>
      </c>
      <c r="J96">
        <f t="shared" si="7"/>
        <v>655</v>
      </c>
    </row>
    <row r="97" spans="2:10" x14ac:dyDescent="0.3">
      <c r="B97" t="s">
        <v>32</v>
      </c>
      <c r="C97">
        <v>6210</v>
      </c>
      <c r="D97">
        <v>750</v>
      </c>
      <c r="E97" t="s">
        <v>29</v>
      </c>
      <c r="F97">
        <f t="shared" si="4"/>
        <v>714.29</v>
      </c>
      <c r="H97">
        <f t="shared" si="5"/>
        <v>714.29</v>
      </c>
      <c r="I97">
        <f t="shared" si="6"/>
        <v>35.710000000000036</v>
      </c>
      <c r="J97">
        <f t="shared" si="7"/>
        <v>750</v>
      </c>
    </row>
    <row r="98" spans="2:10" x14ac:dyDescent="0.3">
      <c r="B98" t="s">
        <v>26</v>
      </c>
      <c r="C98">
        <v>5903</v>
      </c>
      <c r="D98">
        <v>1645</v>
      </c>
      <c r="F98">
        <f t="shared" si="4"/>
        <v>1566.67</v>
      </c>
      <c r="H98">
        <f t="shared" si="5"/>
        <v>1566.67</v>
      </c>
      <c r="I98">
        <f t="shared" si="6"/>
        <v>78.329999999999927</v>
      </c>
      <c r="J98">
        <f t="shared" si="7"/>
        <v>1645</v>
      </c>
    </row>
    <row r="99" spans="2:10" x14ac:dyDescent="0.3">
      <c r="B99" t="s">
        <v>26</v>
      </c>
      <c r="C99">
        <v>4239</v>
      </c>
      <c r="D99">
        <v>1485</v>
      </c>
      <c r="F99">
        <f t="shared" si="4"/>
        <v>1414.29</v>
      </c>
      <c r="H99">
        <f t="shared" si="5"/>
        <v>1414.29</v>
      </c>
      <c r="I99">
        <f t="shared" si="6"/>
        <v>70.710000000000036</v>
      </c>
      <c r="J99">
        <f t="shared" si="7"/>
        <v>1485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6"/>
  <sheetViews>
    <sheetView workbookViewId="0">
      <selection activeCell="O8" sqref="O8"/>
    </sheetView>
  </sheetViews>
  <sheetFormatPr defaultRowHeight="14.4" x14ac:dyDescent="0.3"/>
  <cols>
    <col min="1" max="1" width="7.33203125" customWidth="1"/>
    <col min="2" max="2" width="14" customWidth="1"/>
    <col min="3" max="3" width="12.5546875" customWidth="1"/>
    <col min="4" max="4" width="10.44140625" customWidth="1"/>
    <col min="6" max="6" width="22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</row>
    <row r="2" spans="1:10" x14ac:dyDescent="0.3">
      <c r="B2" t="s">
        <v>11</v>
      </c>
      <c r="C2">
        <v>707</v>
      </c>
      <c r="D2">
        <v>1775</v>
      </c>
      <c r="E2">
        <v>2</v>
      </c>
      <c r="F2">
        <f>ROUND(IF(D2&gt;2500, D2/1.18, D2/1.05),2)</f>
        <v>1690.48</v>
      </c>
      <c r="H2">
        <f>ROUND(IF(D2&gt;2500, D2/1.18, D2/1.05),2)</f>
        <v>1690.48</v>
      </c>
      <c r="I2">
        <f>D2-F2</f>
        <v>84.519999999999982</v>
      </c>
      <c r="J2">
        <f>SUM(H2:I2)</f>
        <v>1775</v>
      </c>
    </row>
    <row r="3" spans="1:10" x14ac:dyDescent="0.3">
      <c r="B3" t="s">
        <v>11</v>
      </c>
      <c r="C3">
        <v>3658</v>
      </c>
      <c r="D3">
        <v>1650</v>
      </c>
      <c r="F3">
        <f t="shared" ref="F3:F46" si="0">ROUND(IF(D3&gt;2500, D3/1.18, D3/1.05),2)</f>
        <v>1571.43</v>
      </c>
      <c r="H3">
        <f t="shared" ref="H3:H46" si="1">ROUND(IF(D3&gt;2500, D3/1.18, D3/1.05),2)</f>
        <v>1571.43</v>
      </c>
      <c r="I3">
        <f t="shared" ref="I3:I46" si="2">D3-F3</f>
        <v>78.569999999999936</v>
      </c>
      <c r="J3">
        <f t="shared" ref="J3:J46" si="3">SUM(H3:I3)</f>
        <v>1650</v>
      </c>
    </row>
    <row r="4" spans="1:10" x14ac:dyDescent="0.3">
      <c r="B4" t="s">
        <v>11</v>
      </c>
      <c r="C4">
        <v>4056</v>
      </c>
      <c r="D4">
        <v>1825</v>
      </c>
      <c r="E4">
        <v>3</v>
      </c>
      <c r="F4">
        <f t="shared" si="0"/>
        <v>1738.1</v>
      </c>
      <c r="H4">
        <f t="shared" si="1"/>
        <v>1738.1</v>
      </c>
      <c r="I4">
        <f t="shared" si="2"/>
        <v>86.900000000000091</v>
      </c>
      <c r="J4">
        <f t="shared" si="3"/>
        <v>1825</v>
      </c>
    </row>
    <row r="5" spans="1:10" x14ac:dyDescent="0.3">
      <c r="B5" t="s">
        <v>11</v>
      </c>
      <c r="C5">
        <v>3672</v>
      </c>
      <c r="D5">
        <v>1575</v>
      </c>
      <c r="F5">
        <f t="shared" si="0"/>
        <v>1500</v>
      </c>
      <c r="H5">
        <f t="shared" si="1"/>
        <v>1500</v>
      </c>
      <c r="I5">
        <f t="shared" si="2"/>
        <v>75</v>
      </c>
      <c r="J5">
        <f t="shared" si="3"/>
        <v>1575</v>
      </c>
    </row>
    <row r="6" spans="1:10" x14ac:dyDescent="0.3">
      <c r="B6" t="s">
        <v>11</v>
      </c>
      <c r="C6">
        <v>4055</v>
      </c>
      <c r="D6">
        <v>1645</v>
      </c>
      <c r="E6">
        <v>2</v>
      </c>
      <c r="F6">
        <f t="shared" si="0"/>
        <v>1566.67</v>
      </c>
      <c r="H6">
        <f t="shared" si="1"/>
        <v>1566.67</v>
      </c>
      <c r="I6">
        <f t="shared" si="2"/>
        <v>78.329999999999927</v>
      </c>
      <c r="J6">
        <f t="shared" si="3"/>
        <v>1645</v>
      </c>
    </row>
    <row r="7" spans="1:10" x14ac:dyDescent="0.3">
      <c r="B7" t="s">
        <v>11</v>
      </c>
      <c r="C7">
        <v>5902</v>
      </c>
      <c r="D7">
        <v>1645</v>
      </c>
      <c r="E7">
        <v>2</v>
      </c>
      <c r="F7">
        <f t="shared" si="0"/>
        <v>1566.67</v>
      </c>
      <c r="H7">
        <f t="shared" si="1"/>
        <v>1566.67</v>
      </c>
      <c r="I7">
        <f t="shared" si="2"/>
        <v>78.329999999999927</v>
      </c>
      <c r="J7">
        <f t="shared" si="3"/>
        <v>1645</v>
      </c>
    </row>
    <row r="8" spans="1:10" x14ac:dyDescent="0.3">
      <c r="B8" t="s">
        <v>11</v>
      </c>
      <c r="C8">
        <v>5075</v>
      </c>
      <c r="D8">
        <v>1625</v>
      </c>
      <c r="E8">
        <v>2</v>
      </c>
      <c r="F8">
        <f t="shared" si="0"/>
        <v>1547.62</v>
      </c>
      <c r="H8">
        <f t="shared" si="1"/>
        <v>1547.62</v>
      </c>
      <c r="I8">
        <f t="shared" si="2"/>
        <v>77.380000000000109</v>
      </c>
      <c r="J8">
        <f t="shared" si="3"/>
        <v>1625</v>
      </c>
    </row>
    <row r="9" spans="1:10" x14ac:dyDescent="0.3">
      <c r="B9" t="s">
        <v>11</v>
      </c>
      <c r="C9">
        <v>5004</v>
      </c>
      <c r="D9">
        <v>925</v>
      </c>
      <c r="F9">
        <f t="shared" si="0"/>
        <v>880.95</v>
      </c>
      <c r="H9">
        <f t="shared" si="1"/>
        <v>880.95</v>
      </c>
      <c r="I9">
        <f t="shared" si="2"/>
        <v>44.049999999999955</v>
      </c>
      <c r="J9">
        <f t="shared" si="3"/>
        <v>925</v>
      </c>
    </row>
    <row r="10" spans="1:10" x14ac:dyDescent="0.3">
      <c r="B10" t="s">
        <v>11</v>
      </c>
      <c r="C10">
        <v>5942</v>
      </c>
      <c r="D10">
        <v>1475</v>
      </c>
      <c r="F10">
        <f t="shared" si="0"/>
        <v>1404.76</v>
      </c>
      <c r="H10">
        <f t="shared" si="1"/>
        <v>1404.76</v>
      </c>
      <c r="I10">
        <f t="shared" si="2"/>
        <v>70.240000000000009</v>
      </c>
      <c r="J10">
        <f t="shared" si="3"/>
        <v>1475</v>
      </c>
    </row>
    <row r="11" spans="1:10" x14ac:dyDescent="0.3">
      <c r="B11" t="s">
        <v>11</v>
      </c>
      <c r="C11">
        <v>5069</v>
      </c>
      <c r="D11">
        <v>1885</v>
      </c>
      <c r="E11">
        <v>3</v>
      </c>
      <c r="F11">
        <f t="shared" si="0"/>
        <v>1795.24</v>
      </c>
      <c r="H11">
        <f t="shared" si="1"/>
        <v>1795.24</v>
      </c>
      <c r="I11">
        <f t="shared" si="2"/>
        <v>89.759999999999991</v>
      </c>
      <c r="J11">
        <f t="shared" si="3"/>
        <v>1885</v>
      </c>
    </row>
    <row r="12" spans="1:10" x14ac:dyDescent="0.3">
      <c r="B12" t="s">
        <v>11</v>
      </c>
      <c r="C12">
        <v>4050</v>
      </c>
      <c r="D12">
        <v>985</v>
      </c>
      <c r="E12">
        <v>3</v>
      </c>
      <c r="F12">
        <f t="shared" si="0"/>
        <v>938.1</v>
      </c>
      <c r="H12">
        <f t="shared" si="1"/>
        <v>938.1</v>
      </c>
      <c r="I12">
        <f t="shared" si="2"/>
        <v>46.899999999999977</v>
      </c>
      <c r="J12">
        <f t="shared" si="3"/>
        <v>985</v>
      </c>
    </row>
    <row r="13" spans="1:10" x14ac:dyDescent="0.3">
      <c r="B13" t="s">
        <v>11</v>
      </c>
      <c r="C13">
        <v>4051</v>
      </c>
      <c r="D13">
        <v>985</v>
      </c>
      <c r="E13">
        <v>3</v>
      </c>
      <c r="F13">
        <f t="shared" si="0"/>
        <v>938.1</v>
      </c>
      <c r="H13">
        <f t="shared" si="1"/>
        <v>938.1</v>
      </c>
      <c r="I13">
        <f t="shared" si="2"/>
        <v>46.899999999999977</v>
      </c>
      <c r="J13">
        <f t="shared" si="3"/>
        <v>985</v>
      </c>
    </row>
    <row r="14" spans="1:10" x14ac:dyDescent="0.3">
      <c r="B14" t="s">
        <v>11</v>
      </c>
      <c r="C14">
        <v>4109</v>
      </c>
      <c r="D14">
        <v>1485</v>
      </c>
      <c r="F14">
        <f t="shared" si="0"/>
        <v>1414.29</v>
      </c>
      <c r="H14">
        <f t="shared" si="1"/>
        <v>1414.29</v>
      </c>
      <c r="I14">
        <f t="shared" si="2"/>
        <v>70.710000000000036</v>
      </c>
      <c r="J14">
        <f t="shared" si="3"/>
        <v>1485</v>
      </c>
    </row>
    <row r="15" spans="1:10" x14ac:dyDescent="0.3">
      <c r="B15" t="s">
        <v>11</v>
      </c>
      <c r="C15">
        <v>3673</v>
      </c>
      <c r="D15">
        <v>1975</v>
      </c>
      <c r="F15">
        <f t="shared" si="0"/>
        <v>1880.95</v>
      </c>
      <c r="H15">
        <f t="shared" si="1"/>
        <v>1880.95</v>
      </c>
      <c r="I15">
        <f t="shared" si="2"/>
        <v>94.049999999999955</v>
      </c>
      <c r="J15">
        <f t="shared" si="3"/>
        <v>1975</v>
      </c>
    </row>
    <row r="16" spans="1:10" x14ac:dyDescent="0.3">
      <c r="B16" t="s">
        <v>11</v>
      </c>
      <c r="C16">
        <v>4111</v>
      </c>
      <c r="D16">
        <v>1150</v>
      </c>
      <c r="E16">
        <v>3</v>
      </c>
      <c r="F16">
        <f t="shared" si="0"/>
        <v>1095.24</v>
      </c>
      <c r="H16">
        <f t="shared" si="1"/>
        <v>1095.24</v>
      </c>
      <c r="I16">
        <f t="shared" si="2"/>
        <v>54.759999999999991</v>
      </c>
      <c r="J16">
        <f t="shared" si="3"/>
        <v>1150</v>
      </c>
    </row>
    <row r="17" spans="2:10" x14ac:dyDescent="0.3">
      <c r="B17" t="s">
        <v>11</v>
      </c>
      <c r="C17">
        <v>3658</v>
      </c>
      <c r="D17">
        <v>1650</v>
      </c>
      <c r="F17">
        <f t="shared" si="0"/>
        <v>1571.43</v>
      </c>
      <c r="H17">
        <f t="shared" si="1"/>
        <v>1571.43</v>
      </c>
      <c r="I17">
        <f t="shared" si="2"/>
        <v>78.569999999999936</v>
      </c>
      <c r="J17">
        <f t="shared" si="3"/>
        <v>1650</v>
      </c>
    </row>
    <row r="18" spans="2:10" x14ac:dyDescent="0.3">
      <c r="B18" t="s">
        <v>11</v>
      </c>
      <c r="C18">
        <v>2818</v>
      </c>
      <c r="D18">
        <v>765</v>
      </c>
      <c r="F18">
        <f t="shared" si="0"/>
        <v>728.57</v>
      </c>
      <c r="H18">
        <f t="shared" si="1"/>
        <v>728.57</v>
      </c>
      <c r="I18">
        <f t="shared" si="2"/>
        <v>36.42999999999995</v>
      </c>
      <c r="J18">
        <f t="shared" si="3"/>
        <v>765</v>
      </c>
    </row>
    <row r="19" spans="2:10" x14ac:dyDescent="0.3">
      <c r="B19" t="s">
        <v>11</v>
      </c>
      <c r="C19">
        <v>5941</v>
      </c>
      <c r="D19">
        <v>1475</v>
      </c>
      <c r="F19">
        <f t="shared" si="0"/>
        <v>1404.76</v>
      </c>
      <c r="H19">
        <f t="shared" si="1"/>
        <v>1404.76</v>
      </c>
      <c r="I19">
        <f t="shared" si="2"/>
        <v>70.240000000000009</v>
      </c>
      <c r="J19">
        <f t="shared" si="3"/>
        <v>1475</v>
      </c>
    </row>
    <row r="20" spans="2:10" x14ac:dyDescent="0.3">
      <c r="B20" t="s">
        <v>11</v>
      </c>
      <c r="C20">
        <v>5933</v>
      </c>
      <c r="D20">
        <v>1395</v>
      </c>
      <c r="F20">
        <f t="shared" si="0"/>
        <v>1328.57</v>
      </c>
      <c r="H20">
        <f t="shared" si="1"/>
        <v>1328.57</v>
      </c>
      <c r="I20">
        <f t="shared" si="2"/>
        <v>66.430000000000064</v>
      </c>
      <c r="J20">
        <f t="shared" si="3"/>
        <v>1395</v>
      </c>
    </row>
    <row r="21" spans="2:10" x14ac:dyDescent="0.3">
      <c r="B21" t="s">
        <v>11</v>
      </c>
      <c r="C21">
        <v>5936</v>
      </c>
      <c r="D21">
        <v>1325</v>
      </c>
      <c r="F21">
        <f t="shared" si="0"/>
        <v>1261.9000000000001</v>
      </c>
      <c r="H21">
        <f t="shared" si="1"/>
        <v>1261.9000000000001</v>
      </c>
      <c r="I21">
        <f t="shared" si="2"/>
        <v>63.099999999999909</v>
      </c>
      <c r="J21">
        <f t="shared" si="3"/>
        <v>1325</v>
      </c>
    </row>
    <row r="22" spans="2:10" x14ac:dyDescent="0.3">
      <c r="B22" t="s">
        <v>11</v>
      </c>
      <c r="C22">
        <v>5940</v>
      </c>
      <c r="D22">
        <v>1645</v>
      </c>
      <c r="F22">
        <f t="shared" si="0"/>
        <v>1566.67</v>
      </c>
      <c r="H22">
        <f t="shared" si="1"/>
        <v>1566.67</v>
      </c>
      <c r="I22">
        <f t="shared" si="2"/>
        <v>78.329999999999927</v>
      </c>
      <c r="J22">
        <f t="shared" si="3"/>
        <v>1645</v>
      </c>
    </row>
    <row r="23" spans="2:10" x14ac:dyDescent="0.3">
      <c r="B23" t="s">
        <v>11</v>
      </c>
      <c r="C23">
        <v>3673</v>
      </c>
      <c r="D23">
        <v>1975</v>
      </c>
      <c r="E23">
        <v>2</v>
      </c>
      <c r="F23">
        <f t="shared" si="0"/>
        <v>1880.95</v>
      </c>
      <c r="H23">
        <f t="shared" si="1"/>
        <v>1880.95</v>
      </c>
      <c r="I23">
        <f t="shared" si="2"/>
        <v>94.049999999999955</v>
      </c>
      <c r="J23">
        <f t="shared" si="3"/>
        <v>1975</v>
      </c>
    </row>
    <row r="24" spans="2:10" x14ac:dyDescent="0.3">
      <c r="B24" t="s">
        <v>11</v>
      </c>
      <c r="C24">
        <v>5933</v>
      </c>
      <c r="D24">
        <v>1395</v>
      </c>
      <c r="E24">
        <v>2</v>
      </c>
      <c r="F24">
        <f t="shared" si="0"/>
        <v>1328.57</v>
      </c>
      <c r="H24">
        <f t="shared" si="1"/>
        <v>1328.57</v>
      </c>
      <c r="I24">
        <f t="shared" si="2"/>
        <v>66.430000000000064</v>
      </c>
      <c r="J24">
        <f t="shared" si="3"/>
        <v>1395</v>
      </c>
    </row>
    <row r="25" spans="2:10" x14ac:dyDescent="0.3">
      <c r="B25" t="s">
        <v>11</v>
      </c>
      <c r="C25">
        <v>3673</v>
      </c>
      <c r="D25">
        <v>1975</v>
      </c>
      <c r="F25">
        <f t="shared" si="0"/>
        <v>1880.95</v>
      </c>
      <c r="H25">
        <f t="shared" si="1"/>
        <v>1880.95</v>
      </c>
      <c r="I25">
        <f t="shared" si="2"/>
        <v>94.049999999999955</v>
      </c>
      <c r="J25">
        <f t="shared" si="3"/>
        <v>1975</v>
      </c>
    </row>
    <row r="26" spans="2:10" x14ac:dyDescent="0.3">
      <c r="B26" t="s">
        <v>11</v>
      </c>
      <c r="C26">
        <v>4059</v>
      </c>
      <c r="D26">
        <v>1250</v>
      </c>
      <c r="F26">
        <f t="shared" si="0"/>
        <v>1190.48</v>
      </c>
      <c r="H26">
        <f t="shared" si="1"/>
        <v>1190.48</v>
      </c>
      <c r="I26">
        <f t="shared" si="2"/>
        <v>59.519999999999982</v>
      </c>
      <c r="J26">
        <f t="shared" si="3"/>
        <v>1250</v>
      </c>
    </row>
    <row r="27" spans="2:10" x14ac:dyDescent="0.3">
      <c r="B27" t="s">
        <v>11</v>
      </c>
      <c r="C27">
        <v>5902</v>
      </c>
      <c r="D27">
        <v>1645</v>
      </c>
      <c r="E27">
        <v>2</v>
      </c>
      <c r="F27">
        <f t="shared" si="0"/>
        <v>1566.67</v>
      </c>
      <c r="H27">
        <f t="shared" si="1"/>
        <v>1566.67</v>
      </c>
      <c r="I27">
        <f t="shared" si="2"/>
        <v>78.329999999999927</v>
      </c>
      <c r="J27">
        <f t="shared" si="3"/>
        <v>1645</v>
      </c>
    </row>
    <row r="28" spans="2:10" x14ac:dyDescent="0.3">
      <c r="H28">
        <f t="shared" si="1"/>
        <v>0</v>
      </c>
      <c r="I28">
        <f t="shared" si="2"/>
        <v>0</v>
      </c>
      <c r="J28">
        <f t="shared" si="3"/>
        <v>0</v>
      </c>
    </row>
    <row r="29" spans="2:10" x14ac:dyDescent="0.3">
      <c r="H29">
        <f t="shared" si="1"/>
        <v>0</v>
      </c>
      <c r="I29">
        <f t="shared" si="2"/>
        <v>0</v>
      </c>
      <c r="J29">
        <f t="shared" si="3"/>
        <v>0</v>
      </c>
    </row>
    <row r="30" spans="2:10" x14ac:dyDescent="0.3">
      <c r="H30">
        <f t="shared" si="1"/>
        <v>0</v>
      </c>
      <c r="I30">
        <f t="shared" si="2"/>
        <v>0</v>
      </c>
      <c r="J30">
        <f t="shared" si="3"/>
        <v>0</v>
      </c>
    </row>
    <row r="31" spans="2:10" x14ac:dyDescent="0.3">
      <c r="B31" t="s">
        <v>14</v>
      </c>
      <c r="C31">
        <v>6048</v>
      </c>
      <c r="D31">
        <v>940</v>
      </c>
      <c r="E31">
        <v>3</v>
      </c>
      <c r="F31">
        <f t="shared" si="0"/>
        <v>895.24</v>
      </c>
      <c r="H31">
        <f t="shared" si="1"/>
        <v>895.24</v>
      </c>
      <c r="I31">
        <f t="shared" si="2"/>
        <v>44.759999999999991</v>
      </c>
      <c r="J31">
        <f t="shared" si="3"/>
        <v>940</v>
      </c>
    </row>
    <row r="32" spans="2:10" x14ac:dyDescent="0.3">
      <c r="B32" t="s">
        <v>14</v>
      </c>
      <c r="C32">
        <v>6055</v>
      </c>
      <c r="D32">
        <v>940</v>
      </c>
      <c r="E32">
        <v>3</v>
      </c>
      <c r="F32">
        <f t="shared" si="0"/>
        <v>895.24</v>
      </c>
      <c r="H32">
        <f t="shared" si="1"/>
        <v>895.24</v>
      </c>
      <c r="I32">
        <f t="shared" si="2"/>
        <v>44.759999999999991</v>
      </c>
      <c r="J32">
        <f t="shared" si="3"/>
        <v>940</v>
      </c>
    </row>
    <row r="33" spans="2:10" x14ac:dyDescent="0.3">
      <c r="B33" t="s">
        <v>15</v>
      </c>
      <c r="C33">
        <v>6047</v>
      </c>
      <c r="D33">
        <v>740</v>
      </c>
      <c r="E33">
        <v>3</v>
      </c>
      <c r="F33">
        <f t="shared" si="0"/>
        <v>704.76</v>
      </c>
      <c r="H33">
        <f t="shared" si="1"/>
        <v>704.76</v>
      </c>
      <c r="I33">
        <f t="shared" si="2"/>
        <v>35.240000000000009</v>
      </c>
      <c r="J33">
        <f t="shared" si="3"/>
        <v>740</v>
      </c>
    </row>
    <row r="34" spans="2:10" x14ac:dyDescent="0.3">
      <c r="B34" t="s">
        <v>15</v>
      </c>
      <c r="C34">
        <v>6056</v>
      </c>
      <c r="D34">
        <v>740</v>
      </c>
      <c r="E34">
        <v>4</v>
      </c>
      <c r="F34">
        <f t="shared" si="0"/>
        <v>704.76</v>
      </c>
      <c r="H34">
        <f t="shared" si="1"/>
        <v>704.76</v>
      </c>
      <c r="I34">
        <f t="shared" si="2"/>
        <v>35.240000000000009</v>
      </c>
      <c r="J34">
        <f t="shared" si="3"/>
        <v>740</v>
      </c>
    </row>
    <row r="35" spans="2:10" x14ac:dyDescent="0.3">
      <c r="B35" t="s">
        <v>15</v>
      </c>
      <c r="C35">
        <v>6052</v>
      </c>
      <c r="D35">
        <v>1475</v>
      </c>
      <c r="E35">
        <v>4</v>
      </c>
      <c r="F35">
        <f t="shared" si="0"/>
        <v>1404.76</v>
      </c>
      <c r="H35">
        <f t="shared" si="1"/>
        <v>1404.76</v>
      </c>
      <c r="I35">
        <f t="shared" si="2"/>
        <v>70.240000000000009</v>
      </c>
      <c r="J35">
        <f t="shared" si="3"/>
        <v>1475</v>
      </c>
    </row>
    <row r="36" spans="2:10" x14ac:dyDescent="0.3">
      <c r="B36" t="s">
        <v>15</v>
      </c>
      <c r="C36">
        <v>6054</v>
      </c>
      <c r="D36">
        <v>1475</v>
      </c>
      <c r="E36">
        <v>3</v>
      </c>
      <c r="F36">
        <f t="shared" si="0"/>
        <v>1404.76</v>
      </c>
      <c r="H36">
        <f t="shared" si="1"/>
        <v>1404.76</v>
      </c>
      <c r="I36">
        <f t="shared" si="2"/>
        <v>70.240000000000009</v>
      </c>
      <c r="J36">
        <f t="shared" si="3"/>
        <v>1475</v>
      </c>
    </row>
    <row r="37" spans="2:10" x14ac:dyDescent="0.3">
      <c r="H37">
        <f t="shared" si="1"/>
        <v>0</v>
      </c>
      <c r="I37">
        <f t="shared" si="2"/>
        <v>0</v>
      </c>
      <c r="J37">
        <f t="shared" si="3"/>
        <v>0</v>
      </c>
    </row>
    <row r="38" spans="2:10" x14ac:dyDescent="0.3">
      <c r="H38">
        <f t="shared" si="1"/>
        <v>0</v>
      </c>
      <c r="I38">
        <f t="shared" si="2"/>
        <v>0</v>
      </c>
      <c r="J38">
        <f t="shared" si="3"/>
        <v>0</v>
      </c>
    </row>
    <row r="39" spans="2:10" x14ac:dyDescent="0.3">
      <c r="H39">
        <f t="shared" si="1"/>
        <v>0</v>
      </c>
      <c r="I39">
        <f t="shared" si="2"/>
        <v>0</v>
      </c>
      <c r="J39">
        <f t="shared" si="3"/>
        <v>0</v>
      </c>
    </row>
    <row r="40" spans="2:10" x14ac:dyDescent="0.3">
      <c r="B40" t="s">
        <v>22</v>
      </c>
      <c r="C40">
        <v>5893</v>
      </c>
      <c r="D40">
        <v>815</v>
      </c>
      <c r="E40">
        <v>4</v>
      </c>
      <c r="F40">
        <f t="shared" si="0"/>
        <v>776.19</v>
      </c>
      <c r="H40">
        <f t="shared" si="1"/>
        <v>776.19</v>
      </c>
      <c r="I40">
        <f t="shared" si="2"/>
        <v>38.809999999999945</v>
      </c>
      <c r="J40">
        <f t="shared" si="3"/>
        <v>815</v>
      </c>
    </row>
    <row r="41" spans="2:10" x14ac:dyDescent="0.3">
      <c r="B41" t="s">
        <v>22</v>
      </c>
      <c r="C41">
        <v>2893</v>
      </c>
      <c r="D41">
        <v>815</v>
      </c>
      <c r="E41">
        <v>4</v>
      </c>
      <c r="F41">
        <f t="shared" si="0"/>
        <v>776.19</v>
      </c>
      <c r="H41">
        <f t="shared" si="1"/>
        <v>776.19</v>
      </c>
      <c r="I41">
        <f t="shared" si="2"/>
        <v>38.809999999999945</v>
      </c>
      <c r="J41">
        <f t="shared" si="3"/>
        <v>815</v>
      </c>
    </row>
    <row r="42" spans="2:10" x14ac:dyDescent="0.3">
      <c r="B42" t="s">
        <v>22</v>
      </c>
      <c r="C42">
        <v>5895</v>
      </c>
      <c r="D42">
        <v>1150</v>
      </c>
      <c r="E42">
        <v>5</v>
      </c>
      <c r="F42">
        <f t="shared" si="0"/>
        <v>1095.24</v>
      </c>
      <c r="H42">
        <f t="shared" si="1"/>
        <v>1095.24</v>
      </c>
      <c r="I42">
        <f t="shared" si="2"/>
        <v>54.759999999999991</v>
      </c>
      <c r="J42">
        <f t="shared" si="3"/>
        <v>1150</v>
      </c>
    </row>
    <row r="43" spans="2:10" x14ac:dyDescent="0.3">
      <c r="H43">
        <f t="shared" si="1"/>
        <v>0</v>
      </c>
      <c r="I43">
        <f t="shared" si="2"/>
        <v>0</v>
      </c>
      <c r="J43">
        <f t="shared" si="3"/>
        <v>0</v>
      </c>
    </row>
    <row r="44" spans="2:10" x14ac:dyDescent="0.3">
      <c r="B44" t="s">
        <v>23</v>
      </c>
      <c r="C44">
        <v>5897</v>
      </c>
      <c r="D44">
        <v>655</v>
      </c>
      <c r="E44">
        <v>4</v>
      </c>
      <c r="F44">
        <f t="shared" si="0"/>
        <v>623.80999999999995</v>
      </c>
      <c r="H44">
        <f t="shared" si="1"/>
        <v>623.80999999999995</v>
      </c>
      <c r="I44">
        <f t="shared" si="2"/>
        <v>31.190000000000055</v>
      </c>
      <c r="J44">
        <f t="shared" si="3"/>
        <v>655</v>
      </c>
    </row>
    <row r="45" spans="2:10" x14ac:dyDescent="0.3">
      <c r="B45" t="s">
        <v>24</v>
      </c>
      <c r="C45">
        <v>5894</v>
      </c>
      <c r="D45">
        <v>1395</v>
      </c>
      <c r="E45">
        <v>4</v>
      </c>
      <c r="F45">
        <f t="shared" si="0"/>
        <v>1328.57</v>
      </c>
      <c r="H45">
        <f t="shared" si="1"/>
        <v>1328.57</v>
      </c>
      <c r="I45">
        <f t="shared" si="2"/>
        <v>66.430000000000064</v>
      </c>
      <c r="J45">
        <f t="shared" si="3"/>
        <v>1395</v>
      </c>
    </row>
    <row r="46" spans="2:10" x14ac:dyDescent="0.3">
      <c r="B46" t="s">
        <v>25</v>
      </c>
      <c r="C46">
        <v>5828</v>
      </c>
      <c r="D46">
        <v>795</v>
      </c>
      <c r="F46">
        <f t="shared" si="0"/>
        <v>757.14</v>
      </c>
      <c r="H46">
        <f t="shared" si="1"/>
        <v>757.14</v>
      </c>
      <c r="I46">
        <f t="shared" si="2"/>
        <v>37.860000000000014</v>
      </c>
      <c r="J46">
        <f t="shared" si="3"/>
        <v>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8"/>
  <sheetViews>
    <sheetView topLeftCell="A35" workbookViewId="0">
      <selection activeCell="L50" sqref="L50"/>
    </sheetView>
  </sheetViews>
  <sheetFormatPr defaultRowHeight="14.4" x14ac:dyDescent="0.3"/>
  <cols>
    <col min="1" max="1" width="6.88671875" customWidth="1"/>
    <col min="2" max="2" width="17.109375" customWidth="1"/>
    <col min="3" max="3" width="13.5546875" customWidth="1"/>
    <col min="4" max="4" width="10.6640625" customWidth="1"/>
    <col min="6" max="6" width="27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</row>
    <row r="2" spans="1:10" x14ac:dyDescent="0.3">
      <c r="B2" t="s">
        <v>7</v>
      </c>
      <c r="C2">
        <v>4973</v>
      </c>
      <c r="D2">
        <v>2150</v>
      </c>
      <c r="F2">
        <f>ROUND(IF(D2&gt;2500, D2/1.18, D2/1.05),2)</f>
        <v>2047.62</v>
      </c>
      <c r="H2">
        <f>ROUND(IF(D2&gt;2500, D2/1.18, D2/1.05),2)</f>
        <v>2047.62</v>
      </c>
      <c r="I2">
        <f>D2-F2</f>
        <v>102.38000000000011</v>
      </c>
      <c r="J2">
        <f>SUM(H2:I2)</f>
        <v>2150</v>
      </c>
    </row>
    <row r="3" spans="1:10" x14ac:dyDescent="0.3">
      <c r="B3" t="s">
        <v>7</v>
      </c>
      <c r="C3">
        <v>2454</v>
      </c>
      <c r="D3">
        <v>2275</v>
      </c>
      <c r="F3">
        <f t="shared" ref="F3:F66" si="0">ROUND(IF(D3&gt;2500, D3/1.18, D3/1.05),2)</f>
        <v>2166.67</v>
      </c>
      <c r="H3">
        <f t="shared" ref="H3:H66" si="1">ROUND(IF(D3&gt;2500, D3/1.18, D3/1.05),2)</f>
        <v>2166.67</v>
      </c>
      <c r="I3">
        <f t="shared" ref="I3:I66" si="2">D3-F3</f>
        <v>108.32999999999993</v>
      </c>
      <c r="J3">
        <f t="shared" ref="J3:J66" si="3">SUM(H3:I3)</f>
        <v>2275</v>
      </c>
    </row>
    <row r="4" spans="1:10" x14ac:dyDescent="0.3">
      <c r="B4" t="s">
        <v>7</v>
      </c>
      <c r="C4">
        <v>4868</v>
      </c>
      <c r="D4">
        <v>2250</v>
      </c>
      <c r="F4">
        <f t="shared" si="0"/>
        <v>2142.86</v>
      </c>
      <c r="H4">
        <f t="shared" si="1"/>
        <v>2142.86</v>
      </c>
      <c r="I4">
        <f t="shared" si="2"/>
        <v>107.13999999999987</v>
      </c>
      <c r="J4">
        <f t="shared" si="3"/>
        <v>2250</v>
      </c>
    </row>
    <row r="5" spans="1:10" x14ac:dyDescent="0.3">
      <c r="B5" t="s">
        <v>7</v>
      </c>
      <c r="C5">
        <v>4946</v>
      </c>
      <c r="D5">
        <v>1875</v>
      </c>
      <c r="F5">
        <f t="shared" si="0"/>
        <v>1785.71</v>
      </c>
      <c r="H5">
        <f t="shared" si="1"/>
        <v>1785.71</v>
      </c>
      <c r="I5">
        <f t="shared" si="2"/>
        <v>89.289999999999964</v>
      </c>
      <c r="J5">
        <f t="shared" si="3"/>
        <v>1875</v>
      </c>
    </row>
    <row r="6" spans="1:10" x14ac:dyDescent="0.3">
      <c r="B6" t="s">
        <v>7</v>
      </c>
      <c r="C6">
        <v>4844</v>
      </c>
      <c r="D6">
        <v>2575</v>
      </c>
      <c r="F6">
        <f t="shared" si="0"/>
        <v>2182.1999999999998</v>
      </c>
      <c r="H6">
        <f t="shared" si="1"/>
        <v>2182.1999999999998</v>
      </c>
      <c r="I6">
        <f t="shared" si="2"/>
        <v>392.80000000000018</v>
      </c>
      <c r="J6">
        <f t="shared" si="3"/>
        <v>2575</v>
      </c>
    </row>
    <row r="7" spans="1:10" x14ac:dyDescent="0.3">
      <c r="B7" t="s">
        <v>7</v>
      </c>
      <c r="C7">
        <v>2551</v>
      </c>
      <c r="D7">
        <v>1975</v>
      </c>
      <c r="F7">
        <f t="shared" si="0"/>
        <v>1880.95</v>
      </c>
      <c r="H7">
        <f t="shared" si="1"/>
        <v>1880.95</v>
      </c>
      <c r="I7">
        <f t="shared" si="2"/>
        <v>94.049999999999955</v>
      </c>
      <c r="J7">
        <f t="shared" si="3"/>
        <v>1975</v>
      </c>
    </row>
    <row r="8" spans="1:10" x14ac:dyDescent="0.3">
      <c r="B8" t="s">
        <v>7</v>
      </c>
      <c r="C8">
        <v>4956</v>
      </c>
      <c r="D8">
        <v>1750</v>
      </c>
      <c r="F8">
        <f t="shared" si="0"/>
        <v>1666.67</v>
      </c>
      <c r="H8">
        <f t="shared" si="1"/>
        <v>1666.67</v>
      </c>
      <c r="I8">
        <f t="shared" si="2"/>
        <v>83.329999999999927</v>
      </c>
      <c r="J8">
        <f t="shared" si="3"/>
        <v>1750</v>
      </c>
    </row>
    <row r="9" spans="1:10" x14ac:dyDescent="0.3">
      <c r="B9" t="s">
        <v>7</v>
      </c>
      <c r="C9">
        <v>2298</v>
      </c>
      <c r="D9">
        <v>2150</v>
      </c>
      <c r="F9">
        <f t="shared" si="0"/>
        <v>2047.62</v>
      </c>
      <c r="H9">
        <f t="shared" si="1"/>
        <v>2047.62</v>
      </c>
      <c r="I9">
        <f t="shared" si="2"/>
        <v>102.38000000000011</v>
      </c>
      <c r="J9">
        <f t="shared" si="3"/>
        <v>2150</v>
      </c>
    </row>
    <row r="10" spans="1:10" x14ac:dyDescent="0.3">
      <c r="B10" t="s">
        <v>7</v>
      </c>
      <c r="C10">
        <v>2460</v>
      </c>
      <c r="D10">
        <v>2150</v>
      </c>
      <c r="F10">
        <f t="shared" si="0"/>
        <v>2047.62</v>
      </c>
      <c r="H10">
        <f t="shared" si="1"/>
        <v>2047.62</v>
      </c>
      <c r="I10">
        <f t="shared" si="2"/>
        <v>102.38000000000011</v>
      </c>
      <c r="J10">
        <f t="shared" si="3"/>
        <v>2150</v>
      </c>
    </row>
    <row r="11" spans="1:10" x14ac:dyDescent="0.3">
      <c r="B11" t="s">
        <v>7</v>
      </c>
      <c r="C11">
        <v>5896</v>
      </c>
      <c r="D11">
        <v>655</v>
      </c>
      <c r="F11">
        <f t="shared" si="0"/>
        <v>623.80999999999995</v>
      </c>
      <c r="H11">
        <f t="shared" si="1"/>
        <v>623.80999999999995</v>
      </c>
      <c r="I11">
        <f t="shared" si="2"/>
        <v>31.190000000000055</v>
      </c>
      <c r="J11">
        <f t="shared" si="3"/>
        <v>655</v>
      </c>
    </row>
    <row r="12" spans="1:10" x14ac:dyDescent="0.3">
      <c r="B12" t="s">
        <v>7</v>
      </c>
      <c r="C12">
        <v>4890</v>
      </c>
      <c r="D12">
        <v>2100</v>
      </c>
      <c r="F12">
        <f t="shared" si="0"/>
        <v>2000</v>
      </c>
      <c r="H12">
        <f t="shared" si="1"/>
        <v>2000</v>
      </c>
      <c r="I12">
        <f t="shared" si="2"/>
        <v>100</v>
      </c>
      <c r="J12">
        <f t="shared" si="3"/>
        <v>2100</v>
      </c>
    </row>
    <row r="13" spans="1:10" x14ac:dyDescent="0.3">
      <c r="B13" t="s">
        <v>7</v>
      </c>
      <c r="C13">
        <v>2458</v>
      </c>
      <c r="D13">
        <v>1975</v>
      </c>
      <c r="F13">
        <f t="shared" si="0"/>
        <v>1880.95</v>
      </c>
      <c r="H13">
        <f t="shared" si="1"/>
        <v>1880.95</v>
      </c>
      <c r="I13">
        <f t="shared" si="2"/>
        <v>94.049999999999955</v>
      </c>
      <c r="J13">
        <f t="shared" si="3"/>
        <v>1975</v>
      </c>
    </row>
    <row r="14" spans="1:10" x14ac:dyDescent="0.3">
      <c r="B14" t="s">
        <v>7</v>
      </c>
      <c r="C14">
        <v>2313</v>
      </c>
      <c r="D14">
        <v>2250</v>
      </c>
      <c r="F14">
        <f t="shared" si="0"/>
        <v>2142.86</v>
      </c>
      <c r="H14">
        <f t="shared" si="1"/>
        <v>2142.86</v>
      </c>
      <c r="I14">
        <f t="shared" si="2"/>
        <v>107.13999999999987</v>
      </c>
      <c r="J14">
        <f t="shared" si="3"/>
        <v>2250</v>
      </c>
    </row>
    <row r="15" spans="1:10" x14ac:dyDescent="0.3">
      <c r="B15" t="s">
        <v>7</v>
      </c>
      <c r="C15">
        <v>4965</v>
      </c>
      <c r="D15">
        <v>2150</v>
      </c>
      <c r="F15">
        <f t="shared" si="0"/>
        <v>2047.62</v>
      </c>
      <c r="H15">
        <f t="shared" si="1"/>
        <v>2047.62</v>
      </c>
      <c r="I15">
        <f t="shared" si="2"/>
        <v>102.38000000000011</v>
      </c>
      <c r="J15">
        <f t="shared" si="3"/>
        <v>2150</v>
      </c>
    </row>
    <row r="16" spans="1:10" x14ac:dyDescent="0.3">
      <c r="B16" t="s">
        <v>7</v>
      </c>
      <c r="C16">
        <v>4989</v>
      </c>
      <c r="D16">
        <v>1750</v>
      </c>
      <c r="F16">
        <f t="shared" si="0"/>
        <v>1666.67</v>
      </c>
      <c r="H16">
        <f t="shared" si="1"/>
        <v>1666.67</v>
      </c>
      <c r="I16">
        <f t="shared" si="2"/>
        <v>83.329999999999927</v>
      </c>
      <c r="J16">
        <f t="shared" si="3"/>
        <v>1750</v>
      </c>
    </row>
    <row r="17" spans="2:10" x14ac:dyDescent="0.3">
      <c r="B17" t="s">
        <v>7</v>
      </c>
      <c r="C17">
        <v>4919</v>
      </c>
      <c r="D17">
        <v>1950</v>
      </c>
      <c r="F17">
        <f t="shared" si="0"/>
        <v>1857.14</v>
      </c>
      <c r="H17">
        <f t="shared" si="1"/>
        <v>1857.14</v>
      </c>
      <c r="I17">
        <f t="shared" si="2"/>
        <v>92.8599999999999</v>
      </c>
      <c r="J17">
        <f t="shared" si="3"/>
        <v>1950</v>
      </c>
    </row>
    <row r="18" spans="2:10" x14ac:dyDescent="0.3">
      <c r="B18" t="s">
        <v>7</v>
      </c>
      <c r="C18">
        <v>5044</v>
      </c>
      <c r="D18">
        <v>1850</v>
      </c>
      <c r="F18">
        <f t="shared" si="0"/>
        <v>1761.9</v>
      </c>
      <c r="H18">
        <f t="shared" si="1"/>
        <v>1761.9</v>
      </c>
      <c r="I18">
        <f t="shared" si="2"/>
        <v>88.099999999999909</v>
      </c>
      <c r="J18">
        <f t="shared" si="3"/>
        <v>1850</v>
      </c>
    </row>
    <row r="19" spans="2:10" x14ac:dyDescent="0.3">
      <c r="B19" t="s">
        <v>7</v>
      </c>
      <c r="C19">
        <v>2552</v>
      </c>
      <c r="D19">
        <v>2750</v>
      </c>
      <c r="F19">
        <f t="shared" si="0"/>
        <v>2330.5100000000002</v>
      </c>
      <c r="H19">
        <f t="shared" si="1"/>
        <v>2330.5100000000002</v>
      </c>
      <c r="I19">
        <f t="shared" si="2"/>
        <v>419.48999999999978</v>
      </c>
      <c r="J19">
        <f t="shared" si="3"/>
        <v>2750</v>
      </c>
    </row>
    <row r="20" spans="2:10" x14ac:dyDescent="0.3">
      <c r="B20" t="s">
        <v>7</v>
      </c>
      <c r="C20">
        <v>4193</v>
      </c>
      <c r="D20">
        <v>1250</v>
      </c>
      <c r="F20">
        <f t="shared" si="0"/>
        <v>1190.48</v>
      </c>
      <c r="H20">
        <f t="shared" si="1"/>
        <v>1190.48</v>
      </c>
      <c r="I20">
        <f t="shared" si="2"/>
        <v>59.519999999999982</v>
      </c>
      <c r="J20">
        <f t="shared" si="3"/>
        <v>1250</v>
      </c>
    </row>
    <row r="21" spans="2:10" x14ac:dyDescent="0.3">
      <c r="B21" t="s">
        <v>7</v>
      </c>
      <c r="C21">
        <v>4871</v>
      </c>
      <c r="D21">
        <v>1950</v>
      </c>
      <c r="F21">
        <f t="shared" si="0"/>
        <v>1857.14</v>
      </c>
      <c r="H21">
        <f t="shared" si="1"/>
        <v>1857.14</v>
      </c>
      <c r="I21">
        <f t="shared" si="2"/>
        <v>92.8599999999999</v>
      </c>
      <c r="J21">
        <f t="shared" si="3"/>
        <v>1950</v>
      </c>
    </row>
    <row r="22" spans="2:10" x14ac:dyDescent="0.3">
      <c r="B22" t="s">
        <v>7</v>
      </c>
      <c r="C22">
        <v>4872</v>
      </c>
      <c r="D22">
        <v>1975</v>
      </c>
      <c r="F22">
        <f t="shared" si="0"/>
        <v>1880.95</v>
      </c>
      <c r="H22">
        <f t="shared" si="1"/>
        <v>1880.95</v>
      </c>
      <c r="I22">
        <f t="shared" si="2"/>
        <v>94.049999999999955</v>
      </c>
      <c r="J22">
        <f t="shared" si="3"/>
        <v>1975</v>
      </c>
    </row>
    <row r="23" spans="2:10" x14ac:dyDescent="0.3">
      <c r="B23" t="s">
        <v>7</v>
      </c>
      <c r="C23">
        <v>4913</v>
      </c>
      <c r="D23">
        <v>1250</v>
      </c>
      <c r="F23">
        <f t="shared" si="0"/>
        <v>1190.48</v>
      </c>
      <c r="H23">
        <f t="shared" si="1"/>
        <v>1190.48</v>
      </c>
      <c r="I23">
        <f t="shared" si="2"/>
        <v>59.519999999999982</v>
      </c>
      <c r="J23">
        <f t="shared" si="3"/>
        <v>1250</v>
      </c>
    </row>
    <row r="24" spans="2:10" x14ac:dyDescent="0.3">
      <c r="B24" t="s">
        <v>7</v>
      </c>
      <c r="C24">
        <v>4966</v>
      </c>
      <c r="D24">
        <v>1575</v>
      </c>
      <c r="F24">
        <f t="shared" si="0"/>
        <v>1500</v>
      </c>
      <c r="H24">
        <f t="shared" si="1"/>
        <v>1500</v>
      </c>
      <c r="I24">
        <f t="shared" si="2"/>
        <v>75</v>
      </c>
      <c r="J24">
        <f t="shared" si="3"/>
        <v>1575</v>
      </c>
    </row>
    <row r="25" spans="2:10" x14ac:dyDescent="0.3">
      <c r="B25" t="s">
        <v>7</v>
      </c>
      <c r="C25">
        <v>2550</v>
      </c>
      <c r="D25">
        <v>1975</v>
      </c>
      <c r="F25">
        <f t="shared" si="0"/>
        <v>1880.95</v>
      </c>
      <c r="H25">
        <f t="shared" si="1"/>
        <v>1880.95</v>
      </c>
      <c r="I25">
        <f t="shared" si="2"/>
        <v>94.049999999999955</v>
      </c>
      <c r="J25">
        <f t="shared" si="3"/>
        <v>1975</v>
      </c>
    </row>
    <row r="26" spans="2:10" x14ac:dyDescent="0.3">
      <c r="B26" t="s">
        <v>7</v>
      </c>
      <c r="C26">
        <v>3998</v>
      </c>
      <c r="D26">
        <v>999</v>
      </c>
      <c r="F26">
        <f t="shared" si="0"/>
        <v>951.43</v>
      </c>
      <c r="H26">
        <f t="shared" si="1"/>
        <v>951.43</v>
      </c>
      <c r="I26">
        <f t="shared" si="2"/>
        <v>47.57000000000005</v>
      </c>
      <c r="J26">
        <f t="shared" si="3"/>
        <v>999</v>
      </c>
    </row>
    <row r="27" spans="2:10" x14ac:dyDescent="0.3">
      <c r="B27" t="s">
        <v>7</v>
      </c>
      <c r="C27">
        <v>4884</v>
      </c>
      <c r="D27">
        <v>1250</v>
      </c>
      <c r="F27">
        <f t="shared" si="0"/>
        <v>1190.48</v>
      </c>
      <c r="H27">
        <f t="shared" si="1"/>
        <v>1190.48</v>
      </c>
      <c r="I27">
        <f t="shared" si="2"/>
        <v>59.519999999999982</v>
      </c>
      <c r="J27">
        <f t="shared" si="3"/>
        <v>1250</v>
      </c>
    </row>
    <row r="28" spans="2:10" x14ac:dyDescent="0.3">
      <c r="B28" t="s">
        <v>7</v>
      </c>
      <c r="C28">
        <v>2305</v>
      </c>
      <c r="D28">
        <v>1575</v>
      </c>
      <c r="F28">
        <f t="shared" si="0"/>
        <v>1500</v>
      </c>
      <c r="H28">
        <f t="shared" si="1"/>
        <v>1500</v>
      </c>
      <c r="I28">
        <f t="shared" si="2"/>
        <v>75</v>
      </c>
      <c r="J28">
        <f t="shared" si="3"/>
        <v>1575</v>
      </c>
    </row>
    <row r="29" spans="2:10" x14ac:dyDescent="0.3">
      <c r="B29" t="s">
        <v>7</v>
      </c>
      <c r="C29">
        <v>4920</v>
      </c>
      <c r="D29">
        <v>1750</v>
      </c>
      <c r="F29">
        <f t="shared" si="0"/>
        <v>1666.67</v>
      </c>
      <c r="H29">
        <f t="shared" si="1"/>
        <v>1666.67</v>
      </c>
      <c r="I29">
        <f t="shared" si="2"/>
        <v>83.329999999999927</v>
      </c>
      <c r="J29">
        <f t="shared" si="3"/>
        <v>1750</v>
      </c>
    </row>
    <row r="30" spans="2:10" x14ac:dyDescent="0.3">
      <c r="B30" t="s">
        <v>7</v>
      </c>
      <c r="C30">
        <v>4945</v>
      </c>
      <c r="D30">
        <v>1450</v>
      </c>
      <c r="F30">
        <f t="shared" si="0"/>
        <v>1380.95</v>
      </c>
      <c r="H30">
        <f t="shared" si="1"/>
        <v>1380.95</v>
      </c>
      <c r="I30">
        <f t="shared" si="2"/>
        <v>69.049999999999955</v>
      </c>
      <c r="J30">
        <f t="shared" si="3"/>
        <v>1450</v>
      </c>
    </row>
    <row r="31" spans="2:10" x14ac:dyDescent="0.3">
      <c r="B31" t="s">
        <v>7</v>
      </c>
      <c r="C31">
        <v>2549</v>
      </c>
      <c r="D31">
        <v>1750</v>
      </c>
      <c r="F31">
        <f t="shared" si="0"/>
        <v>1666.67</v>
      </c>
      <c r="H31">
        <f t="shared" si="1"/>
        <v>1666.67</v>
      </c>
      <c r="I31">
        <f t="shared" si="2"/>
        <v>83.329999999999927</v>
      </c>
      <c r="J31">
        <f t="shared" si="3"/>
        <v>1750</v>
      </c>
    </row>
    <row r="32" spans="2:10" x14ac:dyDescent="0.3">
      <c r="B32" t="s">
        <v>7</v>
      </c>
      <c r="C32">
        <v>3996</v>
      </c>
      <c r="D32">
        <v>799</v>
      </c>
      <c r="E32">
        <v>48</v>
      </c>
      <c r="F32">
        <f t="shared" si="0"/>
        <v>760.95</v>
      </c>
      <c r="H32">
        <f t="shared" si="1"/>
        <v>760.95</v>
      </c>
      <c r="I32">
        <f t="shared" si="2"/>
        <v>38.049999999999955</v>
      </c>
      <c r="J32">
        <f t="shared" si="3"/>
        <v>799</v>
      </c>
    </row>
    <row r="33" spans="2:10" x14ac:dyDescent="0.3">
      <c r="B33" t="s">
        <v>7</v>
      </c>
      <c r="C33">
        <v>4177</v>
      </c>
      <c r="D33">
        <v>899</v>
      </c>
      <c r="E33">
        <v>20</v>
      </c>
      <c r="F33">
        <f t="shared" si="0"/>
        <v>856.19</v>
      </c>
      <c r="H33">
        <f t="shared" si="1"/>
        <v>856.19</v>
      </c>
      <c r="I33">
        <f t="shared" si="2"/>
        <v>42.809999999999945</v>
      </c>
      <c r="J33">
        <f t="shared" si="3"/>
        <v>899</v>
      </c>
    </row>
    <row r="34" spans="2:10" x14ac:dyDescent="0.3">
      <c r="B34" t="s">
        <v>7</v>
      </c>
      <c r="C34">
        <v>3998</v>
      </c>
      <c r="D34">
        <v>999</v>
      </c>
      <c r="E34">
        <v>25</v>
      </c>
      <c r="F34">
        <f t="shared" si="0"/>
        <v>951.43</v>
      </c>
      <c r="H34">
        <f t="shared" si="1"/>
        <v>951.43</v>
      </c>
      <c r="I34">
        <f t="shared" si="2"/>
        <v>47.57000000000005</v>
      </c>
      <c r="J34">
        <f t="shared" si="3"/>
        <v>999</v>
      </c>
    </row>
    <row r="35" spans="2:10" x14ac:dyDescent="0.3">
      <c r="B35" t="s">
        <v>7</v>
      </c>
      <c r="C35">
        <v>4504</v>
      </c>
      <c r="D35">
        <v>950</v>
      </c>
      <c r="F35">
        <f t="shared" si="0"/>
        <v>904.76</v>
      </c>
      <c r="H35">
        <f t="shared" si="1"/>
        <v>904.76</v>
      </c>
      <c r="I35">
        <f t="shared" si="2"/>
        <v>45.240000000000009</v>
      </c>
      <c r="J35">
        <f t="shared" si="3"/>
        <v>950</v>
      </c>
    </row>
    <row r="36" spans="2:10" x14ac:dyDescent="0.3">
      <c r="B36" t="s">
        <v>7</v>
      </c>
      <c r="C36">
        <v>4528</v>
      </c>
      <c r="D36">
        <v>1395</v>
      </c>
      <c r="F36">
        <f t="shared" si="0"/>
        <v>1328.57</v>
      </c>
      <c r="H36">
        <f t="shared" si="1"/>
        <v>1328.57</v>
      </c>
      <c r="I36">
        <f t="shared" si="2"/>
        <v>66.430000000000064</v>
      </c>
      <c r="J36">
        <f t="shared" si="3"/>
        <v>1395</v>
      </c>
    </row>
    <row r="37" spans="2:10" x14ac:dyDescent="0.3">
      <c r="B37" t="s">
        <v>7</v>
      </c>
      <c r="C37">
        <v>4529</v>
      </c>
      <c r="D37">
        <v>1650</v>
      </c>
      <c r="F37">
        <f t="shared" si="0"/>
        <v>1571.43</v>
      </c>
      <c r="H37">
        <f t="shared" si="1"/>
        <v>1571.43</v>
      </c>
      <c r="I37">
        <f t="shared" si="2"/>
        <v>78.569999999999936</v>
      </c>
      <c r="J37">
        <f t="shared" si="3"/>
        <v>1650</v>
      </c>
    </row>
    <row r="38" spans="2:10" x14ac:dyDescent="0.3">
      <c r="B38" t="s">
        <v>7</v>
      </c>
      <c r="C38">
        <v>4177</v>
      </c>
      <c r="D38">
        <v>899</v>
      </c>
      <c r="F38">
        <f t="shared" si="0"/>
        <v>856.19</v>
      </c>
      <c r="H38">
        <f t="shared" si="1"/>
        <v>856.19</v>
      </c>
      <c r="I38">
        <f t="shared" si="2"/>
        <v>42.809999999999945</v>
      </c>
      <c r="J38">
        <f t="shared" si="3"/>
        <v>899</v>
      </c>
    </row>
    <row r="39" spans="2:10" x14ac:dyDescent="0.3">
      <c r="B39" t="s">
        <v>7</v>
      </c>
      <c r="C39">
        <v>4869</v>
      </c>
      <c r="D39">
        <v>1250</v>
      </c>
      <c r="F39">
        <f t="shared" si="0"/>
        <v>1190.48</v>
      </c>
      <c r="H39">
        <f t="shared" si="1"/>
        <v>1190.48</v>
      </c>
      <c r="I39">
        <f t="shared" si="2"/>
        <v>59.519999999999982</v>
      </c>
      <c r="J39">
        <f t="shared" si="3"/>
        <v>1250</v>
      </c>
    </row>
    <row r="40" spans="2:10" x14ac:dyDescent="0.3">
      <c r="B40" t="s">
        <v>7</v>
      </c>
      <c r="C40">
        <v>5547</v>
      </c>
      <c r="D40">
        <v>2575</v>
      </c>
      <c r="F40">
        <f t="shared" si="0"/>
        <v>2182.1999999999998</v>
      </c>
      <c r="H40">
        <f t="shared" si="1"/>
        <v>2182.1999999999998</v>
      </c>
      <c r="I40">
        <f t="shared" si="2"/>
        <v>392.80000000000018</v>
      </c>
      <c r="J40">
        <f t="shared" si="3"/>
        <v>2575</v>
      </c>
    </row>
    <row r="41" spans="2:10" x14ac:dyDescent="0.3">
      <c r="B41" t="s">
        <v>7</v>
      </c>
      <c r="C41">
        <v>5883</v>
      </c>
      <c r="D41">
        <v>655</v>
      </c>
      <c r="E41">
        <v>3</v>
      </c>
      <c r="F41">
        <f t="shared" si="0"/>
        <v>623.80999999999995</v>
      </c>
      <c r="H41">
        <f t="shared" si="1"/>
        <v>623.80999999999995</v>
      </c>
      <c r="I41">
        <f t="shared" si="2"/>
        <v>31.190000000000055</v>
      </c>
      <c r="J41">
        <f t="shared" si="3"/>
        <v>655</v>
      </c>
    </row>
    <row r="42" spans="2:10" x14ac:dyDescent="0.3">
      <c r="B42" t="s">
        <v>7</v>
      </c>
      <c r="C42">
        <v>4177</v>
      </c>
      <c r="D42">
        <v>899</v>
      </c>
      <c r="E42">
        <v>2</v>
      </c>
      <c r="F42">
        <f t="shared" si="0"/>
        <v>856.19</v>
      </c>
      <c r="H42">
        <f t="shared" si="1"/>
        <v>856.19</v>
      </c>
      <c r="I42">
        <f t="shared" si="2"/>
        <v>42.809999999999945</v>
      </c>
      <c r="J42">
        <f t="shared" si="3"/>
        <v>899</v>
      </c>
    </row>
    <row r="43" spans="2:10" x14ac:dyDescent="0.3">
      <c r="B43" t="s">
        <v>7</v>
      </c>
      <c r="C43">
        <v>5555</v>
      </c>
      <c r="D43">
        <v>2775</v>
      </c>
      <c r="F43">
        <f t="shared" si="0"/>
        <v>2351.69</v>
      </c>
      <c r="H43">
        <f t="shared" si="1"/>
        <v>2351.69</v>
      </c>
      <c r="I43">
        <f t="shared" si="2"/>
        <v>423.30999999999995</v>
      </c>
      <c r="J43">
        <f t="shared" si="3"/>
        <v>2775</v>
      </c>
    </row>
    <row r="44" spans="2:10" x14ac:dyDescent="0.3">
      <c r="B44" t="s">
        <v>7</v>
      </c>
      <c r="C44">
        <v>3998</v>
      </c>
      <c r="D44">
        <v>999</v>
      </c>
      <c r="E44">
        <v>9</v>
      </c>
      <c r="F44">
        <f t="shared" si="0"/>
        <v>951.43</v>
      </c>
      <c r="H44">
        <f t="shared" si="1"/>
        <v>951.43</v>
      </c>
      <c r="I44">
        <f t="shared" si="2"/>
        <v>47.57000000000005</v>
      </c>
      <c r="J44">
        <f t="shared" si="3"/>
        <v>999</v>
      </c>
    </row>
    <row r="45" spans="2:10" x14ac:dyDescent="0.3">
      <c r="B45" t="s">
        <v>7</v>
      </c>
      <c r="C45">
        <v>4177</v>
      </c>
      <c r="D45">
        <v>899</v>
      </c>
      <c r="E45">
        <v>8</v>
      </c>
      <c r="F45">
        <f t="shared" si="0"/>
        <v>856.19</v>
      </c>
      <c r="H45">
        <f t="shared" si="1"/>
        <v>856.19</v>
      </c>
      <c r="I45">
        <f t="shared" si="2"/>
        <v>42.809999999999945</v>
      </c>
      <c r="J45">
        <f t="shared" si="3"/>
        <v>899</v>
      </c>
    </row>
    <row r="46" spans="2:10" x14ac:dyDescent="0.3">
      <c r="B46" t="s">
        <v>7</v>
      </c>
      <c r="C46">
        <v>3996</v>
      </c>
      <c r="D46">
        <v>799</v>
      </c>
      <c r="E46">
        <v>23</v>
      </c>
      <c r="F46">
        <f t="shared" si="0"/>
        <v>760.95</v>
      </c>
      <c r="H46">
        <f t="shared" si="1"/>
        <v>760.95</v>
      </c>
      <c r="I46">
        <f t="shared" si="2"/>
        <v>38.049999999999955</v>
      </c>
      <c r="J46">
        <f t="shared" si="3"/>
        <v>799</v>
      </c>
    </row>
    <row r="47" spans="2:10" x14ac:dyDescent="0.3">
      <c r="B47" t="s">
        <v>7</v>
      </c>
      <c r="C47">
        <v>5896</v>
      </c>
      <c r="D47">
        <v>655</v>
      </c>
      <c r="F47">
        <f t="shared" si="0"/>
        <v>623.80999999999995</v>
      </c>
      <c r="H47">
        <f t="shared" si="1"/>
        <v>623.80999999999995</v>
      </c>
      <c r="I47">
        <f t="shared" si="2"/>
        <v>31.190000000000055</v>
      </c>
      <c r="J47">
        <f t="shared" si="3"/>
        <v>655</v>
      </c>
    </row>
    <row r="48" spans="2:10" x14ac:dyDescent="0.3">
      <c r="B48" t="s">
        <v>7</v>
      </c>
      <c r="C48">
        <v>3996</v>
      </c>
      <c r="D48">
        <v>799</v>
      </c>
      <c r="F48">
        <f t="shared" si="0"/>
        <v>760.95</v>
      </c>
      <c r="H48">
        <f t="shared" si="1"/>
        <v>760.95</v>
      </c>
      <c r="I48">
        <f t="shared" si="2"/>
        <v>38.049999999999955</v>
      </c>
      <c r="J48">
        <f t="shared" si="3"/>
        <v>799</v>
      </c>
    </row>
    <row r="49" spans="2:10" x14ac:dyDescent="0.3">
      <c r="B49" t="s">
        <v>7</v>
      </c>
      <c r="C49">
        <v>5544</v>
      </c>
      <c r="D49">
        <v>2775</v>
      </c>
      <c r="F49">
        <f t="shared" si="0"/>
        <v>2351.69</v>
      </c>
      <c r="H49">
        <f t="shared" si="1"/>
        <v>2351.69</v>
      </c>
      <c r="I49">
        <f t="shared" si="2"/>
        <v>423.30999999999995</v>
      </c>
      <c r="J49">
        <f t="shared" si="3"/>
        <v>2775</v>
      </c>
    </row>
    <row r="50" spans="2:10" x14ac:dyDescent="0.3">
      <c r="B50" t="s">
        <v>7</v>
      </c>
      <c r="C50">
        <v>5545</v>
      </c>
      <c r="D50">
        <v>2575</v>
      </c>
      <c r="F50">
        <f t="shared" si="0"/>
        <v>2182.1999999999998</v>
      </c>
      <c r="H50">
        <f>ROUND(IF(D50&gt;2500, D50/1.18, D50/1.05),2)</f>
        <v>2182.1999999999998</v>
      </c>
      <c r="I50">
        <f t="shared" si="2"/>
        <v>392.80000000000018</v>
      </c>
      <c r="J50">
        <f t="shared" si="3"/>
        <v>2575</v>
      </c>
    </row>
    <row r="51" spans="2:10" x14ac:dyDescent="0.3">
      <c r="B51" t="s">
        <v>7</v>
      </c>
      <c r="C51">
        <v>5546</v>
      </c>
      <c r="D51">
        <v>2775</v>
      </c>
      <c r="F51">
        <f t="shared" si="0"/>
        <v>2351.69</v>
      </c>
      <c r="H51">
        <f t="shared" si="1"/>
        <v>2351.69</v>
      </c>
      <c r="I51">
        <f t="shared" si="2"/>
        <v>423.30999999999995</v>
      </c>
      <c r="J51">
        <f t="shared" si="3"/>
        <v>2775</v>
      </c>
    </row>
    <row r="52" spans="2:10" x14ac:dyDescent="0.3">
      <c r="B52" t="s">
        <v>7</v>
      </c>
      <c r="C52">
        <v>4971</v>
      </c>
      <c r="D52">
        <v>1550</v>
      </c>
      <c r="F52">
        <f t="shared" si="0"/>
        <v>1476.19</v>
      </c>
      <c r="H52">
        <f t="shared" si="1"/>
        <v>1476.19</v>
      </c>
      <c r="I52">
        <f t="shared" si="2"/>
        <v>73.809999999999945</v>
      </c>
      <c r="J52">
        <f t="shared" si="3"/>
        <v>1550</v>
      </c>
    </row>
    <row r="53" spans="2:10" x14ac:dyDescent="0.3">
      <c r="B53" t="s">
        <v>7</v>
      </c>
      <c r="C53">
        <v>4915</v>
      </c>
      <c r="D53">
        <v>1450</v>
      </c>
      <c r="F53">
        <f t="shared" si="0"/>
        <v>1380.95</v>
      </c>
      <c r="H53">
        <f t="shared" si="1"/>
        <v>1380.95</v>
      </c>
      <c r="I53">
        <f t="shared" si="2"/>
        <v>69.049999999999955</v>
      </c>
      <c r="J53">
        <f t="shared" si="3"/>
        <v>1450</v>
      </c>
    </row>
    <row r="54" spans="2:10" x14ac:dyDescent="0.3">
      <c r="B54" t="s">
        <v>7</v>
      </c>
      <c r="C54">
        <v>4884</v>
      </c>
      <c r="D54">
        <v>1250</v>
      </c>
      <c r="F54">
        <f t="shared" si="0"/>
        <v>1190.48</v>
      </c>
      <c r="H54">
        <f t="shared" si="1"/>
        <v>1190.48</v>
      </c>
      <c r="I54">
        <f t="shared" si="2"/>
        <v>59.519999999999982</v>
      </c>
      <c r="J54">
        <f t="shared" si="3"/>
        <v>1250</v>
      </c>
    </row>
    <row r="55" spans="2:10" x14ac:dyDescent="0.3">
      <c r="B55" t="s">
        <v>7</v>
      </c>
      <c r="C55">
        <v>4988</v>
      </c>
      <c r="D55">
        <v>1450</v>
      </c>
      <c r="F55">
        <f t="shared" si="0"/>
        <v>1380.95</v>
      </c>
      <c r="H55">
        <f t="shared" si="1"/>
        <v>1380.95</v>
      </c>
      <c r="I55">
        <f t="shared" si="2"/>
        <v>69.049999999999955</v>
      </c>
      <c r="J55">
        <f t="shared" si="3"/>
        <v>1450</v>
      </c>
    </row>
    <row r="56" spans="2:10" x14ac:dyDescent="0.3">
      <c r="B56" t="s">
        <v>7</v>
      </c>
      <c r="C56">
        <v>4957</v>
      </c>
      <c r="D56">
        <v>1350</v>
      </c>
      <c r="F56">
        <f t="shared" si="0"/>
        <v>1285.71</v>
      </c>
      <c r="H56">
        <f t="shared" si="1"/>
        <v>1285.71</v>
      </c>
      <c r="I56">
        <f t="shared" si="2"/>
        <v>64.289999999999964</v>
      </c>
      <c r="J56">
        <f t="shared" si="3"/>
        <v>1350</v>
      </c>
    </row>
    <row r="57" spans="2:10" x14ac:dyDescent="0.3">
      <c r="B57" t="s">
        <v>7</v>
      </c>
      <c r="C57">
        <v>4177</v>
      </c>
      <c r="D57">
        <v>899</v>
      </c>
      <c r="F57">
        <f t="shared" si="0"/>
        <v>856.19</v>
      </c>
      <c r="H57">
        <f t="shared" si="1"/>
        <v>856.19</v>
      </c>
      <c r="I57">
        <f t="shared" si="2"/>
        <v>42.809999999999945</v>
      </c>
      <c r="J57">
        <f t="shared" si="3"/>
        <v>899</v>
      </c>
    </row>
    <row r="58" spans="2:10" x14ac:dyDescent="0.3">
      <c r="B58" t="s">
        <v>7</v>
      </c>
      <c r="C58">
        <v>4867</v>
      </c>
      <c r="D58">
        <v>1475</v>
      </c>
      <c r="F58">
        <f t="shared" si="0"/>
        <v>1404.76</v>
      </c>
      <c r="H58">
        <f t="shared" si="1"/>
        <v>1404.76</v>
      </c>
      <c r="I58">
        <f t="shared" si="2"/>
        <v>70.240000000000009</v>
      </c>
      <c r="J58">
        <f t="shared" si="3"/>
        <v>1475</v>
      </c>
    </row>
    <row r="59" spans="2:10" x14ac:dyDescent="0.3">
      <c r="B59" t="s">
        <v>7</v>
      </c>
      <c r="C59">
        <v>4886</v>
      </c>
      <c r="D59">
        <v>1450</v>
      </c>
      <c r="F59">
        <f t="shared" si="0"/>
        <v>1380.95</v>
      </c>
      <c r="H59">
        <f t="shared" si="1"/>
        <v>1380.95</v>
      </c>
      <c r="I59">
        <f t="shared" si="2"/>
        <v>69.049999999999955</v>
      </c>
      <c r="J59">
        <f t="shared" si="3"/>
        <v>1450</v>
      </c>
    </row>
    <row r="60" spans="2:10" x14ac:dyDescent="0.3">
      <c r="B60" t="s">
        <v>7</v>
      </c>
      <c r="C60">
        <v>2453</v>
      </c>
      <c r="D60">
        <v>1975</v>
      </c>
      <c r="F60">
        <f t="shared" si="0"/>
        <v>1880.95</v>
      </c>
      <c r="H60">
        <f t="shared" si="1"/>
        <v>1880.95</v>
      </c>
      <c r="I60">
        <f t="shared" si="2"/>
        <v>94.049999999999955</v>
      </c>
      <c r="J60">
        <f t="shared" si="3"/>
        <v>1975</v>
      </c>
    </row>
    <row r="61" spans="2:10" x14ac:dyDescent="0.3">
      <c r="B61" t="s">
        <v>7</v>
      </c>
      <c r="C61">
        <v>2452</v>
      </c>
      <c r="D61">
        <v>1975</v>
      </c>
      <c r="F61">
        <f t="shared" si="0"/>
        <v>1880.95</v>
      </c>
      <c r="H61">
        <f t="shared" si="1"/>
        <v>1880.95</v>
      </c>
      <c r="I61">
        <f t="shared" si="2"/>
        <v>94.049999999999955</v>
      </c>
      <c r="J61">
        <f t="shared" si="3"/>
        <v>1975</v>
      </c>
    </row>
    <row r="62" spans="2:10" x14ac:dyDescent="0.3">
      <c r="B62" t="s">
        <v>7</v>
      </c>
      <c r="C62">
        <v>4870</v>
      </c>
      <c r="D62">
        <v>2250</v>
      </c>
      <c r="F62">
        <f t="shared" si="0"/>
        <v>2142.86</v>
      </c>
      <c r="H62">
        <f t="shared" si="1"/>
        <v>2142.86</v>
      </c>
      <c r="I62">
        <f t="shared" si="2"/>
        <v>107.13999999999987</v>
      </c>
      <c r="J62">
        <f t="shared" si="3"/>
        <v>2250</v>
      </c>
    </row>
    <row r="63" spans="2:10" x14ac:dyDescent="0.3">
      <c r="B63" t="s">
        <v>7</v>
      </c>
      <c r="C63">
        <v>2078</v>
      </c>
      <c r="D63">
        <v>1950</v>
      </c>
      <c r="F63">
        <f t="shared" si="0"/>
        <v>1857.14</v>
      </c>
      <c r="H63">
        <f t="shared" si="1"/>
        <v>1857.14</v>
      </c>
      <c r="I63">
        <f t="shared" si="2"/>
        <v>92.8599999999999</v>
      </c>
      <c r="J63">
        <f t="shared" si="3"/>
        <v>1950</v>
      </c>
    </row>
    <row r="64" spans="2:10" x14ac:dyDescent="0.3">
      <c r="B64" t="s">
        <v>7</v>
      </c>
      <c r="C64">
        <v>5548</v>
      </c>
      <c r="D64">
        <v>2975</v>
      </c>
      <c r="F64">
        <f t="shared" si="0"/>
        <v>2521.19</v>
      </c>
      <c r="H64">
        <f t="shared" si="1"/>
        <v>2521.19</v>
      </c>
      <c r="I64">
        <f t="shared" si="2"/>
        <v>453.80999999999995</v>
      </c>
      <c r="J64">
        <f t="shared" si="3"/>
        <v>2975</v>
      </c>
    </row>
    <row r="65" spans="2:10" x14ac:dyDescent="0.3">
      <c r="B65" t="s">
        <v>7</v>
      </c>
      <c r="C65">
        <v>4879</v>
      </c>
      <c r="D65">
        <v>2575</v>
      </c>
      <c r="F65">
        <f t="shared" si="0"/>
        <v>2182.1999999999998</v>
      </c>
      <c r="H65">
        <f t="shared" si="1"/>
        <v>2182.1999999999998</v>
      </c>
      <c r="I65">
        <f t="shared" si="2"/>
        <v>392.80000000000018</v>
      </c>
      <c r="J65">
        <f t="shared" si="3"/>
        <v>2575</v>
      </c>
    </row>
    <row r="66" spans="2:10" x14ac:dyDescent="0.3">
      <c r="B66" t="s">
        <v>7</v>
      </c>
      <c r="C66">
        <v>4880</v>
      </c>
      <c r="D66">
        <v>1450</v>
      </c>
      <c r="F66">
        <f t="shared" si="0"/>
        <v>1380.95</v>
      </c>
      <c r="H66">
        <f t="shared" si="1"/>
        <v>1380.95</v>
      </c>
      <c r="I66">
        <f t="shared" si="2"/>
        <v>69.049999999999955</v>
      </c>
      <c r="J66">
        <f t="shared" si="3"/>
        <v>1450</v>
      </c>
    </row>
    <row r="67" spans="2:10" x14ac:dyDescent="0.3">
      <c r="B67" t="s">
        <v>7</v>
      </c>
      <c r="C67">
        <v>5004</v>
      </c>
      <c r="D67">
        <v>2275</v>
      </c>
      <c r="F67">
        <f t="shared" ref="F67:F68" si="4">ROUND(IF(D67&gt;2500, D67/1.18, D67/1.05),2)</f>
        <v>2166.67</v>
      </c>
      <c r="H67">
        <f t="shared" ref="H67:H68" si="5">ROUND(IF(D67&gt;2500, D67/1.18, D67/1.05),2)</f>
        <v>2166.67</v>
      </c>
      <c r="I67">
        <f t="shared" ref="I67:I68" si="6">D67-F67</f>
        <v>108.32999999999993</v>
      </c>
      <c r="J67">
        <f t="shared" ref="J67:J68" si="7">SUM(H67:I67)</f>
        <v>2275</v>
      </c>
    </row>
    <row r="68" spans="2:10" x14ac:dyDescent="0.3">
      <c r="B68" t="s">
        <v>7</v>
      </c>
      <c r="C68">
        <v>2455</v>
      </c>
      <c r="D68">
        <v>1975</v>
      </c>
      <c r="F68">
        <f t="shared" si="4"/>
        <v>1880.95</v>
      </c>
      <c r="H68">
        <f t="shared" si="5"/>
        <v>1880.95</v>
      </c>
      <c r="I68">
        <f t="shared" si="6"/>
        <v>94.049999999999955</v>
      </c>
      <c r="J68">
        <f t="shared" si="7"/>
        <v>1975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workbookViewId="0">
      <selection activeCell="K21" sqref="K21"/>
    </sheetView>
  </sheetViews>
  <sheetFormatPr defaultRowHeight="14.4" x14ac:dyDescent="0.3"/>
  <cols>
    <col min="1" max="1" width="6" customWidth="1"/>
    <col min="2" max="2" width="20" customWidth="1"/>
    <col min="3" max="3" width="12.6640625" customWidth="1"/>
    <col min="4" max="4" width="9.44140625" customWidth="1"/>
    <col min="6" max="6" width="23.886718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33</v>
      </c>
    </row>
    <row r="2" spans="1:10" x14ac:dyDescent="0.3">
      <c r="B2" t="s">
        <v>8</v>
      </c>
      <c r="C2">
        <v>4881</v>
      </c>
      <c r="D2">
        <v>2975</v>
      </c>
      <c r="F2">
        <f>ROUND(IF(D2&gt;2500, D2/1.18, D2/1.05),2)</f>
        <v>2521.19</v>
      </c>
      <c r="H2">
        <f>D2/1.18</f>
        <v>2521.1864406779664</v>
      </c>
      <c r="I2">
        <f>D2-H2</f>
        <v>453.8135593220336</v>
      </c>
      <c r="J2">
        <f>SUM(H2:I2)</f>
        <v>2975</v>
      </c>
    </row>
    <row r="3" spans="1:10" x14ac:dyDescent="0.3">
      <c r="B3" t="s">
        <v>8</v>
      </c>
      <c r="C3">
        <v>2060</v>
      </c>
      <c r="D3">
        <v>4950</v>
      </c>
      <c r="F3">
        <f t="shared" ref="F3:F18" si="0">ROUND(IF(D3&gt;2500, D3/1.18, D3/1.05),2)</f>
        <v>4194.92</v>
      </c>
      <c r="H3">
        <f t="shared" ref="H3:H18" si="1">D3/1.18</f>
        <v>4194.9152542372885</v>
      </c>
      <c r="I3">
        <f t="shared" ref="I3:I18" si="2">D3-H3</f>
        <v>755.08474576271146</v>
      </c>
      <c r="J3">
        <f t="shared" ref="J3:J18" si="3">SUM(H3:I3)</f>
        <v>4950</v>
      </c>
    </row>
    <row r="4" spans="1:10" x14ac:dyDescent="0.3">
      <c r="B4" t="s">
        <v>8</v>
      </c>
      <c r="C4">
        <v>2427</v>
      </c>
      <c r="D4">
        <v>2275</v>
      </c>
      <c r="F4">
        <f t="shared" si="0"/>
        <v>2166.67</v>
      </c>
      <c r="H4">
        <f>D4/1.05</f>
        <v>2166.6666666666665</v>
      </c>
      <c r="I4">
        <f>D4-H4</f>
        <v>108.33333333333348</v>
      </c>
      <c r="J4">
        <f>H4+I4</f>
        <v>2275</v>
      </c>
    </row>
    <row r="5" spans="1:10" x14ac:dyDescent="0.3">
      <c r="B5" t="s">
        <v>8</v>
      </c>
      <c r="C5">
        <v>2450</v>
      </c>
      <c r="D5">
        <v>2975</v>
      </c>
      <c r="F5">
        <f t="shared" si="0"/>
        <v>2521.19</v>
      </c>
      <c r="H5">
        <f t="shared" si="1"/>
        <v>2521.1864406779664</v>
      </c>
      <c r="I5">
        <f t="shared" si="2"/>
        <v>453.8135593220336</v>
      </c>
      <c r="J5">
        <f t="shared" si="3"/>
        <v>2975</v>
      </c>
    </row>
    <row r="6" spans="1:10" x14ac:dyDescent="0.3">
      <c r="B6" t="s">
        <v>8</v>
      </c>
      <c r="C6">
        <v>5046</v>
      </c>
      <c r="D6">
        <v>3750</v>
      </c>
      <c r="F6">
        <f t="shared" si="0"/>
        <v>3177.97</v>
      </c>
      <c r="H6">
        <f t="shared" si="1"/>
        <v>3177.9661016949153</v>
      </c>
      <c r="I6">
        <f t="shared" si="2"/>
        <v>572.03389830508468</v>
      </c>
      <c r="J6">
        <f t="shared" si="3"/>
        <v>3750</v>
      </c>
    </row>
    <row r="7" spans="1:10" x14ac:dyDescent="0.3">
      <c r="B7" t="s">
        <v>8</v>
      </c>
      <c r="C7">
        <v>4176</v>
      </c>
      <c r="D7">
        <v>999</v>
      </c>
      <c r="F7">
        <f>ROUND(IF(D7&gt;2500, D7/1.18, D7/1.05),2)</f>
        <v>951.43</v>
      </c>
      <c r="H7">
        <f>D7/1.05</f>
        <v>951.42857142857144</v>
      </c>
      <c r="I7">
        <f t="shared" si="2"/>
        <v>47.571428571428555</v>
      </c>
      <c r="J7">
        <f t="shared" si="3"/>
        <v>999</v>
      </c>
    </row>
    <row r="8" spans="1:10" x14ac:dyDescent="0.3">
      <c r="B8" t="s">
        <v>8</v>
      </c>
      <c r="C8">
        <v>4176</v>
      </c>
      <c r="D8">
        <v>999</v>
      </c>
      <c r="E8">
        <v>12</v>
      </c>
      <c r="F8">
        <f t="shared" si="0"/>
        <v>951.43</v>
      </c>
      <c r="H8">
        <f>D8/1.05</f>
        <v>951.42857142857144</v>
      </c>
      <c r="I8">
        <f t="shared" ref="I8" si="4">D8-H8</f>
        <v>47.571428571428555</v>
      </c>
      <c r="J8">
        <f t="shared" si="3"/>
        <v>999</v>
      </c>
    </row>
    <row r="9" spans="1:10" x14ac:dyDescent="0.3">
      <c r="B9" t="s">
        <v>8</v>
      </c>
      <c r="C9">
        <v>4952</v>
      </c>
      <c r="D9">
        <v>1975</v>
      </c>
      <c r="F9">
        <f t="shared" si="0"/>
        <v>1880.95</v>
      </c>
      <c r="H9">
        <f t="shared" ref="H9:H10" si="5">D9/1.05</f>
        <v>1880.952380952381</v>
      </c>
      <c r="I9">
        <f t="shared" ref="I9:I10" si="6">D9-H9</f>
        <v>94.047619047619037</v>
      </c>
      <c r="J9">
        <f t="shared" si="3"/>
        <v>1975</v>
      </c>
    </row>
    <row r="10" spans="1:10" x14ac:dyDescent="0.3">
      <c r="B10" t="s">
        <v>8</v>
      </c>
      <c r="C10">
        <v>4984</v>
      </c>
      <c r="D10">
        <v>1975</v>
      </c>
      <c r="F10">
        <f t="shared" si="0"/>
        <v>1880.95</v>
      </c>
      <c r="H10">
        <f t="shared" si="5"/>
        <v>1880.952380952381</v>
      </c>
      <c r="I10">
        <f t="shared" si="6"/>
        <v>94.047619047619037</v>
      </c>
      <c r="J10">
        <f t="shared" si="3"/>
        <v>1975</v>
      </c>
    </row>
    <row r="11" spans="1:10" x14ac:dyDescent="0.3">
      <c r="B11" t="s">
        <v>8</v>
      </c>
      <c r="C11">
        <v>1909</v>
      </c>
      <c r="D11">
        <v>2995</v>
      </c>
      <c r="F11">
        <f t="shared" si="0"/>
        <v>2538.14</v>
      </c>
      <c r="H11">
        <f t="shared" si="1"/>
        <v>2538.1355932203392</v>
      </c>
      <c r="I11">
        <f t="shared" si="2"/>
        <v>456.86440677966084</v>
      </c>
      <c r="J11">
        <f t="shared" si="3"/>
        <v>2995</v>
      </c>
    </row>
    <row r="12" spans="1:10" x14ac:dyDescent="0.3">
      <c r="B12" t="s">
        <v>8</v>
      </c>
      <c r="C12">
        <v>4330</v>
      </c>
      <c r="D12">
        <v>3250</v>
      </c>
      <c r="F12">
        <f t="shared" si="0"/>
        <v>2754.24</v>
      </c>
      <c r="H12">
        <f t="shared" si="1"/>
        <v>2754.2372881355932</v>
      </c>
      <c r="I12">
        <f t="shared" si="2"/>
        <v>495.76271186440681</v>
      </c>
      <c r="J12">
        <f t="shared" si="3"/>
        <v>3250</v>
      </c>
    </row>
    <row r="13" spans="1:10" x14ac:dyDescent="0.3">
      <c r="B13" t="s">
        <v>8</v>
      </c>
      <c r="C13">
        <v>4324</v>
      </c>
      <c r="D13">
        <v>7250</v>
      </c>
      <c r="F13">
        <f t="shared" si="0"/>
        <v>6144.07</v>
      </c>
      <c r="H13">
        <f t="shared" si="1"/>
        <v>6144.0677966101703</v>
      </c>
      <c r="I13">
        <f t="shared" si="2"/>
        <v>1105.9322033898297</v>
      </c>
      <c r="J13">
        <f t="shared" si="3"/>
        <v>7250</v>
      </c>
    </row>
    <row r="14" spans="1:10" x14ac:dyDescent="0.3">
      <c r="B14" t="s">
        <v>8</v>
      </c>
      <c r="C14">
        <v>4486</v>
      </c>
      <c r="D14">
        <v>2750</v>
      </c>
      <c r="F14">
        <f t="shared" si="0"/>
        <v>2330.5100000000002</v>
      </c>
      <c r="H14">
        <f t="shared" si="1"/>
        <v>2330.5084745762715</v>
      </c>
      <c r="I14">
        <f t="shared" si="2"/>
        <v>419.49152542372849</v>
      </c>
      <c r="J14">
        <f t="shared" si="3"/>
        <v>2750</v>
      </c>
    </row>
    <row r="15" spans="1:10" x14ac:dyDescent="0.3">
      <c r="B15" t="s">
        <v>8</v>
      </c>
      <c r="C15">
        <v>4176</v>
      </c>
      <c r="D15">
        <v>999</v>
      </c>
      <c r="E15">
        <v>8</v>
      </c>
      <c r="F15">
        <f t="shared" si="0"/>
        <v>951.43</v>
      </c>
      <c r="H15">
        <f t="shared" ref="H15:H16" si="7">D15/1.05</f>
        <v>951.42857142857144</v>
      </c>
      <c r="I15">
        <f t="shared" si="2"/>
        <v>47.571428571428555</v>
      </c>
      <c r="J15">
        <f t="shared" si="3"/>
        <v>999</v>
      </c>
    </row>
    <row r="16" spans="1:10" x14ac:dyDescent="0.3">
      <c r="B16" t="s">
        <v>8</v>
      </c>
      <c r="C16">
        <v>4936</v>
      </c>
      <c r="D16">
        <v>1275</v>
      </c>
      <c r="F16">
        <f t="shared" si="0"/>
        <v>1214.29</v>
      </c>
      <c r="H16">
        <f t="shared" si="7"/>
        <v>1214.2857142857142</v>
      </c>
      <c r="I16">
        <f t="shared" si="2"/>
        <v>60.714285714285779</v>
      </c>
      <c r="J16">
        <f t="shared" si="3"/>
        <v>1275</v>
      </c>
    </row>
    <row r="17" spans="2:10" x14ac:dyDescent="0.3">
      <c r="B17" t="s">
        <v>8</v>
      </c>
      <c r="C17">
        <v>5552</v>
      </c>
      <c r="D17">
        <v>2575</v>
      </c>
      <c r="F17">
        <f>ROUND(IF(D17&gt;2500, D17/1.18, D17/1.05),2)</f>
        <v>2182.1999999999998</v>
      </c>
      <c r="H17">
        <f>D17/1.18</f>
        <v>2182.2033898305085</v>
      </c>
      <c r="I17">
        <f t="shared" si="2"/>
        <v>392.79661016949149</v>
      </c>
      <c r="J17">
        <f t="shared" si="3"/>
        <v>2575</v>
      </c>
    </row>
    <row r="18" spans="2:10" x14ac:dyDescent="0.3">
      <c r="B18" t="s">
        <v>12</v>
      </c>
      <c r="C18">
        <v>866</v>
      </c>
      <c r="D18">
        <v>7250</v>
      </c>
      <c r="F18">
        <f t="shared" si="0"/>
        <v>6144.07</v>
      </c>
      <c r="H18">
        <f t="shared" si="1"/>
        <v>6144.0677966101703</v>
      </c>
      <c r="I18">
        <f t="shared" si="2"/>
        <v>1105.9322033898297</v>
      </c>
      <c r="J18">
        <f t="shared" si="3"/>
        <v>7250</v>
      </c>
    </row>
    <row r="36" spans="2:5" x14ac:dyDescent="0.3">
      <c r="B36" t="s">
        <v>9</v>
      </c>
      <c r="C36">
        <v>4950</v>
      </c>
      <c r="D36">
        <v>975</v>
      </c>
    </row>
    <row r="37" spans="2:5" x14ac:dyDescent="0.3">
      <c r="B37" t="s">
        <v>9</v>
      </c>
      <c r="C37">
        <v>3999</v>
      </c>
      <c r="D37">
        <v>999</v>
      </c>
      <c r="E37">
        <v>3</v>
      </c>
    </row>
    <row r="38" spans="2:5" x14ac:dyDescent="0.3">
      <c r="B38" t="s">
        <v>9</v>
      </c>
      <c r="C38">
        <v>4877</v>
      </c>
      <c r="D38">
        <v>1950</v>
      </c>
    </row>
    <row r="39" spans="2:5" x14ac:dyDescent="0.3">
      <c r="B39" t="s">
        <v>9</v>
      </c>
      <c r="C39">
        <v>4933</v>
      </c>
      <c r="D39">
        <v>975</v>
      </c>
    </row>
    <row r="40" spans="2:5" x14ac:dyDescent="0.3">
      <c r="B40" t="s">
        <v>9</v>
      </c>
      <c r="C40">
        <v>3999</v>
      </c>
      <c r="D40">
        <v>999</v>
      </c>
      <c r="E40">
        <v>5</v>
      </c>
    </row>
    <row r="41" spans="2:5" x14ac:dyDescent="0.3">
      <c r="B41" t="s">
        <v>9</v>
      </c>
      <c r="C41">
        <v>6049</v>
      </c>
      <c r="D41">
        <v>1485</v>
      </c>
      <c r="E41">
        <v>2</v>
      </c>
    </row>
    <row r="42" spans="2:5" x14ac:dyDescent="0.3">
      <c r="B42" t="s">
        <v>9</v>
      </c>
      <c r="C42">
        <v>6049</v>
      </c>
      <c r="D42">
        <v>1485</v>
      </c>
    </row>
    <row r="43" spans="2:5" x14ac:dyDescent="0.3">
      <c r="B43" t="s">
        <v>9</v>
      </c>
      <c r="C43">
        <v>6053</v>
      </c>
      <c r="D43">
        <v>1250</v>
      </c>
      <c r="E43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J109"/>
  <sheetViews>
    <sheetView topLeftCell="A115" workbookViewId="0">
      <selection activeCell="N4" sqref="N4:N5"/>
    </sheetView>
  </sheetViews>
  <sheetFormatPr defaultRowHeight="14.4" x14ac:dyDescent="0.3"/>
  <cols>
    <col min="1" max="1" width="6.33203125" customWidth="1"/>
    <col min="2" max="2" width="24.109375" customWidth="1"/>
    <col min="3" max="3" width="12.88671875" customWidth="1"/>
    <col min="6" max="6" width="20.6640625" customWidth="1"/>
    <col min="10" max="10" width="7.109375" customWidth="1"/>
  </cols>
  <sheetData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33</v>
      </c>
      <c r="H2" t="s">
        <v>34</v>
      </c>
      <c r="I2" t="s">
        <v>35</v>
      </c>
      <c r="J2" t="s">
        <v>36</v>
      </c>
    </row>
    <row r="3" spans="1:10" x14ac:dyDescent="0.3">
      <c r="B3" t="s">
        <v>13</v>
      </c>
      <c r="C3">
        <v>1953</v>
      </c>
      <c r="D3">
        <v>14250</v>
      </c>
      <c r="F3">
        <f>ROUND(IF(D3&gt;2500, D3/1.18, D3/1.05),2)</f>
        <v>12076.27</v>
      </c>
      <c r="H3">
        <f>D3/1.18</f>
        <v>12076.271186440679</v>
      </c>
      <c r="I3">
        <f>D3-F3</f>
        <v>2173.7299999999996</v>
      </c>
      <c r="J3" s="1">
        <f>SUM(H3:I3)</f>
        <v>14250.001186440679</v>
      </c>
    </row>
    <row r="4" spans="1:10" x14ac:dyDescent="0.3">
      <c r="B4" t="s">
        <v>13</v>
      </c>
      <c r="C4">
        <v>1960</v>
      </c>
      <c r="D4">
        <v>14250</v>
      </c>
      <c r="F4">
        <f t="shared" ref="F4:F67" si="0">ROUND(IF(D4&gt;2500, D4/1.18, D4/1.05),2)</f>
        <v>12076.27</v>
      </c>
      <c r="H4">
        <f>D4/1.18</f>
        <v>12076.271186440679</v>
      </c>
      <c r="I4">
        <f t="shared" ref="I4:I32" si="1">D4-F4</f>
        <v>2173.7299999999996</v>
      </c>
      <c r="J4" s="1">
        <f t="shared" ref="J4:J32" si="2">SUM(H4:I4)</f>
        <v>14250.001186440679</v>
      </c>
    </row>
    <row r="5" spans="1:10" x14ac:dyDescent="0.3">
      <c r="B5" t="s">
        <v>13</v>
      </c>
      <c r="C5">
        <v>1956</v>
      </c>
      <c r="D5">
        <v>14750</v>
      </c>
      <c r="F5">
        <f t="shared" si="0"/>
        <v>12500</v>
      </c>
      <c r="H5">
        <f t="shared" ref="H5:H32" si="3">D5/1.18</f>
        <v>12500</v>
      </c>
      <c r="I5">
        <f t="shared" si="1"/>
        <v>2250</v>
      </c>
      <c r="J5" s="1">
        <f t="shared" si="2"/>
        <v>14750</v>
      </c>
    </row>
    <row r="6" spans="1:10" x14ac:dyDescent="0.3">
      <c r="B6" t="s">
        <v>13</v>
      </c>
      <c r="C6">
        <v>2031</v>
      </c>
      <c r="D6">
        <v>13750</v>
      </c>
      <c r="F6">
        <f t="shared" si="0"/>
        <v>11652.54</v>
      </c>
      <c r="H6">
        <f t="shared" si="3"/>
        <v>11652.542372881357</v>
      </c>
      <c r="I6">
        <f t="shared" si="1"/>
        <v>2097.4599999999991</v>
      </c>
      <c r="J6" s="1">
        <f t="shared" si="2"/>
        <v>13750.002372881356</v>
      </c>
    </row>
    <row r="7" spans="1:10" x14ac:dyDescent="0.3">
      <c r="B7" t="s">
        <v>13</v>
      </c>
      <c r="C7">
        <v>1962</v>
      </c>
      <c r="D7">
        <v>13750</v>
      </c>
      <c r="F7">
        <f t="shared" si="0"/>
        <v>11652.54</v>
      </c>
      <c r="H7">
        <f t="shared" si="3"/>
        <v>11652.542372881357</v>
      </c>
      <c r="I7">
        <f t="shared" si="1"/>
        <v>2097.4599999999991</v>
      </c>
      <c r="J7" s="1">
        <f t="shared" si="2"/>
        <v>13750.002372881356</v>
      </c>
    </row>
    <row r="8" spans="1:10" x14ac:dyDescent="0.3">
      <c r="B8" t="s">
        <v>13</v>
      </c>
      <c r="C8">
        <v>1955</v>
      </c>
      <c r="D8">
        <v>12750</v>
      </c>
      <c r="F8">
        <f t="shared" si="0"/>
        <v>10805.08</v>
      </c>
      <c r="H8">
        <f t="shared" si="3"/>
        <v>10805.084745762713</v>
      </c>
      <c r="I8">
        <f t="shared" si="1"/>
        <v>1944.92</v>
      </c>
      <c r="J8" s="1">
        <f t="shared" si="2"/>
        <v>12750.004745762713</v>
      </c>
    </row>
    <row r="9" spans="1:10" x14ac:dyDescent="0.3">
      <c r="B9" t="s">
        <v>13</v>
      </c>
      <c r="C9">
        <v>3351</v>
      </c>
      <c r="D9">
        <v>5325</v>
      </c>
      <c r="F9">
        <f t="shared" si="0"/>
        <v>4512.71</v>
      </c>
      <c r="H9">
        <f t="shared" si="3"/>
        <v>4512.7118644067796</v>
      </c>
      <c r="I9">
        <f t="shared" si="1"/>
        <v>812.29</v>
      </c>
      <c r="J9" s="1">
        <f t="shared" si="2"/>
        <v>5325.0018644067795</v>
      </c>
    </row>
    <row r="10" spans="1:10" x14ac:dyDescent="0.3">
      <c r="B10" t="s">
        <v>13</v>
      </c>
      <c r="C10">
        <v>1569</v>
      </c>
      <c r="D10">
        <v>5375</v>
      </c>
      <c r="F10">
        <f t="shared" si="0"/>
        <v>4555.08</v>
      </c>
      <c r="H10">
        <f t="shared" si="3"/>
        <v>4555.0847457627124</v>
      </c>
      <c r="I10">
        <f t="shared" si="1"/>
        <v>819.92000000000007</v>
      </c>
      <c r="J10" s="1">
        <f t="shared" si="2"/>
        <v>5375.0047457627124</v>
      </c>
    </row>
    <row r="11" spans="1:10" x14ac:dyDescent="0.3">
      <c r="B11" t="s">
        <v>13</v>
      </c>
      <c r="C11">
        <v>3356</v>
      </c>
      <c r="D11">
        <v>8250</v>
      </c>
      <c r="F11">
        <f t="shared" si="0"/>
        <v>6991.53</v>
      </c>
      <c r="H11">
        <f t="shared" si="3"/>
        <v>6991.5254237288136</v>
      </c>
      <c r="I11">
        <f t="shared" si="1"/>
        <v>1258.4700000000003</v>
      </c>
      <c r="J11" s="1">
        <f t="shared" si="2"/>
        <v>8249.9954237288148</v>
      </c>
    </row>
    <row r="12" spans="1:10" x14ac:dyDescent="0.3">
      <c r="B12" t="s">
        <v>13</v>
      </c>
      <c r="C12">
        <v>3349</v>
      </c>
      <c r="D12">
        <v>4850</v>
      </c>
      <c r="F12">
        <f t="shared" si="0"/>
        <v>4110.17</v>
      </c>
      <c r="H12">
        <f t="shared" si="3"/>
        <v>4110.1694915254238</v>
      </c>
      <c r="I12">
        <f t="shared" si="1"/>
        <v>739.82999999999993</v>
      </c>
      <c r="J12" s="1">
        <f t="shared" si="2"/>
        <v>4849.9994915254238</v>
      </c>
    </row>
    <row r="13" spans="1:10" x14ac:dyDescent="0.3">
      <c r="B13" t="s">
        <v>13</v>
      </c>
      <c r="C13">
        <v>3351</v>
      </c>
      <c r="D13">
        <v>5325</v>
      </c>
      <c r="F13">
        <f t="shared" si="0"/>
        <v>4512.71</v>
      </c>
      <c r="H13">
        <f t="shared" si="3"/>
        <v>4512.7118644067796</v>
      </c>
      <c r="I13">
        <f t="shared" si="1"/>
        <v>812.29</v>
      </c>
      <c r="J13" s="1">
        <f t="shared" si="2"/>
        <v>5325.0018644067795</v>
      </c>
    </row>
    <row r="14" spans="1:10" x14ac:dyDescent="0.3">
      <c r="B14" t="s">
        <v>13</v>
      </c>
      <c r="C14">
        <v>3350</v>
      </c>
      <c r="D14">
        <v>5550</v>
      </c>
      <c r="F14">
        <f t="shared" si="0"/>
        <v>4703.3900000000003</v>
      </c>
      <c r="H14">
        <f t="shared" si="3"/>
        <v>4703.3898305084749</v>
      </c>
      <c r="I14">
        <f t="shared" si="1"/>
        <v>846.60999999999967</v>
      </c>
      <c r="J14" s="1">
        <f t="shared" si="2"/>
        <v>5549.9998305084746</v>
      </c>
    </row>
    <row r="15" spans="1:10" x14ac:dyDescent="0.3">
      <c r="B15" t="s">
        <v>13</v>
      </c>
      <c r="C15">
        <v>3352</v>
      </c>
      <c r="D15">
        <v>6785</v>
      </c>
      <c r="F15">
        <f t="shared" si="0"/>
        <v>5750</v>
      </c>
      <c r="H15">
        <f t="shared" si="3"/>
        <v>5750</v>
      </c>
      <c r="I15">
        <f t="shared" si="1"/>
        <v>1035</v>
      </c>
      <c r="J15" s="1">
        <f t="shared" si="2"/>
        <v>6785</v>
      </c>
    </row>
    <row r="16" spans="1:10" x14ac:dyDescent="0.3">
      <c r="B16" t="s">
        <v>13</v>
      </c>
      <c r="C16">
        <v>3348</v>
      </c>
      <c r="D16">
        <v>7350</v>
      </c>
      <c r="F16">
        <f t="shared" si="0"/>
        <v>6228.81</v>
      </c>
      <c r="H16">
        <f t="shared" si="3"/>
        <v>6228.8135593220341</v>
      </c>
      <c r="I16">
        <f t="shared" si="1"/>
        <v>1121.1899999999996</v>
      </c>
      <c r="J16" s="1">
        <f t="shared" si="2"/>
        <v>7350.0035593220337</v>
      </c>
    </row>
    <row r="17" spans="2:10" x14ac:dyDescent="0.3">
      <c r="B17" t="s">
        <v>13</v>
      </c>
      <c r="C17">
        <v>3347</v>
      </c>
      <c r="D17">
        <v>9655</v>
      </c>
      <c r="F17">
        <f t="shared" si="0"/>
        <v>8182.2</v>
      </c>
      <c r="H17">
        <f t="shared" si="3"/>
        <v>8182.203389830509</v>
      </c>
      <c r="I17">
        <f t="shared" si="1"/>
        <v>1472.8000000000002</v>
      </c>
      <c r="J17" s="1">
        <f t="shared" si="2"/>
        <v>9655.0033898305082</v>
      </c>
    </row>
    <row r="18" spans="2:10" x14ac:dyDescent="0.3">
      <c r="B18" t="s">
        <v>13</v>
      </c>
      <c r="C18">
        <v>3347</v>
      </c>
      <c r="D18">
        <v>9655</v>
      </c>
      <c r="F18">
        <f t="shared" si="0"/>
        <v>8182.2</v>
      </c>
      <c r="H18">
        <f t="shared" si="3"/>
        <v>8182.203389830509</v>
      </c>
      <c r="I18">
        <f t="shared" si="1"/>
        <v>1472.8000000000002</v>
      </c>
      <c r="J18" s="1">
        <f t="shared" si="2"/>
        <v>9655.0033898305082</v>
      </c>
    </row>
    <row r="19" spans="2:10" x14ac:dyDescent="0.3">
      <c r="B19" t="s">
        <v>13</v>
      </c>
      <c r="C19">
        <v>1418</v>
      </c>
      <c r="D19">
        <v>23875</v>
      </c>
      <c r="F19">
        <f t="shared" si="0"/>
        <v>20233.05</v>
      </c>
      <c r="H19">
        <f t="shared" si="3"/>
        <v>20233.050847457627</v>
      </c>
      <c r="I19">
        <f t="shared" si="1"/>
        <v>3641.9500000000007</v>
      </c>
      <c r="J19" s="1">
        <f t="shared" si="2"/>
        <v>23875.000847457628</v>
      </c>
    </row>
    <row r="20" spans="2:10" x14ac:dyDescent="0.3">
      <c r="B20" t="s">
        <v>13</v>
      </c>
      <c r="C20">
        <v>3351</v>
      </c>
      <c r="D20">
        <v>5325</v>
      </c>
      <c r="F20">
        <f t="shared" si="0"/>
        <v>4512.71</v>
      </c>
      <c r="H20">
        <f t="shared" si="3"/>
        <v>4512.7118644067796</v>
      </c>
      <c r="I20">
        <f t="shared" si="1"/>
        <v>812.29</v>
      </c>
      <c r="J20" s="1">
        <f t="shared" si="2"/>
        <v>5325.0018644067795</v>
      </c>
    </row>
    <row r="21" spans="2:10" x14ac:dyDescent="0.3">
      <c r="B21" t="s">
        <v>13</v>
      </c>
      <c r="C21">
        <v>3350</v>
      </c>
      <c r="D21">
        <v>5550</v>
      </c>
      <c r="F21">
        <f t="shared" si="0"/>
        <v>4703.3900000000003</v>
      </c>
      <c r="H21">
        <f t="shared" si="3"/>
        <v>4703.3898305084749</v>
      </c>
      <c r="I21">
        <f t="shared" si="1"/>
        <v>846.60999999999967</v>
      </c>
      <c r="J21" s="1">
        <f t="shared" si="2"/>
        <v>5549.9998305084746</v>
      </c>
    </row>
    <row r="22" spans="2:10" x14ac:dyDescent="0.3">
      <c r="B22" t="s">
        <v>13</v>
      </c>
      <c r="C22">
        <v>1574</v>
      </c>
      <c r="D22">
        <v>9650</v>
      </c>
      <c r="F22">
        <f t="shared" si="0"/>
        <v>8177.97</v>
      </c>
      <c r="H22">
        <f t="shared" si="3"/>
        <v>8177.9661016949158</v>
      </c>
      <c r="I22">
        <f t="shared" si="1"/>
        <v>1472.0299999999997</v>
      </c>
      <c r="J22" s="1">
        <f t="shared" si="2"/>
        <v>9649.9961016949164</v>
      </c>
    </row>
    <row r="23" spans="2:10" x14ac:dyDescent="0.3">
      <c r="B23" t="s">
        <v>13</v>
      </c>
      <c r="C23">
        <v>1447</v>
      </c>
      <c r="D23">
        <v>10750</v>
      </c>
      <c r="F23">
        <f t="shared" si="0"/>
        <v>9110.17</v>
      </c>
      <c r="H23">
        <f t="shared" si="3"/>
        <v>9110.1694915254247</v>
      </c>
      <c r="I23">
        <f t="shared" si="1"/>
        <v>1639.83</v>
      </c>
      <c r="J23" s="1">
        <f t="shared" si="2"/>
        <v>10749.999491525425</v>
      </c>
    </row>
    <row r="24" spans="2:10" x14ac:dyDescent="0.3">
      <c r="B24" t="s">
        <v>13</v>
      </c>
      <c r="C24">
        <v>1573</v>
      </c>
      <c r="D24">
        <v>10750</v>
      </c>
      <c r="F24">
        <f t="shared" si="0"/>
        <v>9110.17</v>
      </c>
      <c r="H24">
        <f t="shared" si="3"/>
        <v>9110.1694915254247</v>
      </c>
      <c r="I24">
        <f t="shared" si="1"/>
        <v>1639.83</v>
      </c>
      <c r="J24" s="1">
        <f t="shared" si="2"/>
        <v>10749.999491525425</v>
      </c>
    </row>
    <row r="25" spans="2:10" x14ac:dyDescent="0.3">
      <c r="B25" t="s">
        <v>13</v>
      </c>
      <c r="C25">
        <v>2033</v>
      </c>
      <c r="D25">
        <v>13750</v>
      </c>
      <c r="F25">
        <f t="shared" si="0"/>
        <v>11652.54</v>
      </c>
      <c r="H25">
        <f t="shared" si="3"/>
        <v>11652.542372881357</v>
      </c>
      <c r="I25">
        <f t="shared" si="1"/>
        <v>2097.4599999999991</v>
      </c>
      <c r="J25" s="1">
        <f t="shared" si="2"/>
        <v>13750.002372881356</v>
      </c>
    </row>
    <row r="26" spans="2:10" x14ac:dyDescent="0.3">
      <c r="B26" t="s">
        <v>13</v>
      </c>
      <c r="C26">
        <v>3349</v>
      </c>
      <c r="D26">
        <v>4850</v>
      </c>
      <c r="F26">
        <f t="shared" si="0"/>
        <v>4110.17</v>
      </c>
      <c r="H26">
        <f t="shared" si="3"/>
        <v>4110.1694915254238</v>
      </c>
      <c r="I26">
        <f t="shared" si="1"/>
        <v>739.82999999999993</v>
      </c>
      <c r="J26" s="1">
        <f t="shared" si="2"/>
        <v>4849.9994915254238</v>
      </c>
    </row>
    <row r="27" spans="2:10" x14ac:dyDescent="0.3">
      <c r="B27" t="s">
        <v>13</v>
      </c>
      <c r="C27">
        <v>3356</v>
      </c>
      <c r="D27">
        <v>8250</v>
      </c>
      <c r="F27">
        <f t="shared" si="0"/>
        <v>6991.53</v>
      </c>
      <c r="H27">
        <f t="shared" si="3"/>
        <v>6991.5254237288136</v>
      </c>
      <c r="I27">
        <f t="shared" si="1"/>
        <v>1258.4700000000003</v>
      </c>
      <c r="J27" s="1">
        <f t="shared" si="2"/>
        <v>8249.9954237288148</v>
      </c>
    </row>
    <row r="28" spans="2:10" x14ac:dyDescent="0.3">
      <c r="B28" t="s">
        <v>13</v>
      </c>
      <c r="C28">
        <v>1805</v>
      </c>
      <c r="D28">
        <v>12795</v>
      </c>
      <c r="F28">
        <f t="shared" si="0"/>
        <v>10843.22</v>
      </c>
      <c r="H28">
        <f t="shared" si="3"/>
        <v>10843.220338983052</v>
      </c>
      <c r="I28">
        <f t="shared" si="1"/>
        <v>1951.7800000000007</v>
      </c>
      <c r="J28" s="1">
        <f t="shared" si="2"/>
        <v>12795.000338983053</v>
      </c>
    </row>
    <row r="29" spans="2:10" x14ac:dyDescent="0.3">
      <c r="B29" t="s">
        <v>13</v>
      </c>
      <c r="C29">
        <v>1570</v>
      </c>
      <c r="D29">
        <v>6450</v>
      </c>
      <c r="F29">
        <f t="shared" si="0"/>
        <v>5466.1</v>
      </c>
      <c r="H29">
        <f t="shared" si="3"/>
        <v>5466.1016949152545</v>
      </c>
      <c r="I29">
        <f t="shared" si="1"/>
        <v>983.89999999999964</v>
      </c>
      <c r="J29" s="1">
        <f t="shared" si="2"/>
        <v>6450.0016949152541</v>
      </c>
    </row>
    <row r="30" spans="2:10" x14ac:dyDescent="0.3">
      <c r="B30" t="s">
        <v>19</v>
      </c>
      <c r="C30">
        <v>1116</v>
      </c>
      <c r="D30">
        <v>17575</v>
      </c>
      <c r="F30">
        <f t="shared" si="0"/>
        <v>14894.07</v>
      </c>
      <c r="H30">
        <f t="shared" si="3"/>
        <v>14894.06779661017</v>
      </c>
      <c r="I30">
        <f t="shared" si="1"/>
        <v>2680.9300000000003</v>
      </c>
      <c r="J30" s="1">
        <f t="shared" si="2"/>
        <v>17574.997796610172</v>
      </c>
    </row>
    <row r="31" spans="2:10" x14ac:dyDescent="0.3">
      <c r="B31" t="s">
        <v>20</v>
      </c>
      <c r="C31">
        <v>1566</v>
      </c>
      <c r="D31">
        <v>4850</v>
      </c>
      <c r="F31">
        <f t="shared" si="0"/>
        <v>4110.17</v>
      </c>
      <c r="H31">
        <f t="shared" si="3"/>
        <v>4110.1694915254238</v>
      </c>
      <c r="I31">
        <f t="shared" si="1"/>
        <v>739.82999999999993</v>
      </c>
      <c r="J31" s="1">
        <f t="shared" si="2"/>
        <v>4849.9994915254238</v>
      </c>
    </row>
    <row r="32" spans="2:10" x14ac:dyDescent="0.3">
      <c r="B32" t="s">
        <v>19</v>
      </c>
      <c r="C32">
        <v>1113</v>
      </c>
      <c r="D32">
        <v>17575</v>
      </c>
      <c r="F32">
        <f t="shared" si="0"/>
        <v>14894.07</v>
      </c>
      <c r="H32">
        <f t="shared" si="3"/>
        <v>14894.06779661017</v>
      </c>
      <c r="I32">
        <f t="shared" si="1"/>
        <v>2680.9300000000003</v>
      </c>
      <c r="J32" s="1">
        <f t="shared" si="2"/>
        <v>17574.997796610172</v>
      </c>
    </row>
    <row r="35" spans="2:10" x14ac:dyDescent="0.3">
      <c r="H35" t="s">
        <v>34</v>
      </c>
      <c r="I35" t="s">
        <v>35</v>
      </c>
      <c r="J35" t="s">
        <v>36</v>
      </c>
    </row>
    <row r="36" spans="2:10" x14ac:dyDescent="0.3">
      <c r="B36" t="s">
        <v>16</v>
      </c>
      <c r="C36">
        <v>4878</v>
      </c>
      <c r="D36">
        <v>4975</v>
      </c>
      <c r="F36">
        <f t="shared" si="0"/>
        <v>4216.1000000000004</v>
      </c>
      <c r="H36">
        <f>D36/1.18</f>
        <v>4216.1016949152545</v>
      </c>
      <c r="I36">
        <f t="shared" ref="I36" si="4">D36-F36</f>
        <v>758.89999999999964</v>
      </c>
      <c r="J36" s="1">
        <f t="shared" ref="J36" si="5">SUM(H36:I36)</f>
        <v>4975.0016949152541</v>
      </c>
    </row>
    <row r="37" spans="2:10" x14ac:dyDescent="0.3">
      <c r="B37" t="s">
        <v>16</v>
      </c>
      <c r="C37">
        <v>4922</v>
      </c>
      <c r="D37">
        <v>950</v>
      </c>
      <c r="F37">
        <f t="shared" si="0"/>
        <v>904.76</v>
      </c>
      <c r="H37">
        <f>D37/1.05</f>
        <v>904.7619047619047</v>
      </c>
      <c r="I37">
        <f>D37-F37</f>
        <v>45.240000000000009</v>
      </c>
      <c r="J37">
        <f>SUM(H37:I37)</f>
        <v>950.00190476190471</v>
      </c>
    </row>
    <row r="38" spans="2:10" x14ac:dyDescent="0.3">
      <c r="B38" t="s">
        <v>16</v>
      </c>
      <c r="C38">
        <v>4924</v>
      </c>
      <c r="D38">
        <v>4500</v>
      </c>
      <c r="F38">
        <f t="shared" si="0"/>
        <v>3813.56</v>
      </c>
      <c r="H38">
        <f t="shared" ref="H38:H47" si="6">D38/1.18</f>
        <v>3813.5593220338983</v>
      </c>
      <c r="I38">
        <f t="shared" ref="I38:I47" si="7">D38-F38</f>
        <v>686.44</v>
      </c>
      <c r="J38" s="1">
        <f t="shared" ref="J38:J47" si="8">SUM(H38:I38)</f>
        <v>4499.9993220338984</v>
      </c>
    </row>
    <row r="39" spans="2:10" x14ac:dyDescent="0.3">
      <c r="B39" t="s">
        <v>16</v>
      </c>
      <c r="C39">
        <v>2038</v>
      </c>
      <c r="D39">
        <v>11575</v>
      </c>
      <c r="F39">
        <f t="shared" si="0"/>
        <v>9809.32</v>
      </c>
      <c r="H39">
        <f t="shared" si="6"/>
        <v>9809.3220338983065</v>
      </c>
      <c r="I39">
        <f t="shared" si="7"/>
        <v>1765.6800000000003</v>
      </c>
      <c r="J39" s="1">
        <f t="shared" si="8"/>
        <v>11575.002033898307</v>
      </c>
    </row>
    <row r="40" spans="2:10" x14ac:dyDescent="0.3">
      <c r="B40" t="s">
        <v>16</v>
      </c>
      <c r="C40">
        <v>2035</v>
      </c>
      <c r="D40">
        <v>7750</v>
      </c>
      <c r="F40">
        <f t="shared" si="0"/>
        <v>6567.8</v>
      </c>
      <c r="H40">
        <f t="shared" si="6"/>
        <v>6567.7966101694919</v>
      </c>
      <c r="I40">
        <f t="shared" si="7"/>
        <v>1182.1999999999998</v>
      </c>
      <c r="J40" s="1">
        <f t="shared" si="8"/>
        <v>7749.9966101694918</v>
      </c>
    </row>
    <row r="41" spans="2:10" x14ac:dyDescent="0.3">
      <c r="B41" t="s">
        <v>16</v>
      </c>
      <c r="C41">
        <v>2040</v>
      </c>
      <c r="D41">
        <v>9750</v>
      </c>
      <c r="F41">
        <f t="shared" si="0"/>
        <v>8262.7099999999991</v>
      </c>
      <c r="H41">
        <f t="shared" si="6"/>
        <v>8262.7118644067796</v>
      </c>
      <c r="I41">
        <f t="shared" si="7"/>
        <v>1487.2900000000009</v>
      </c>
      <c r="J41" s="1">
        <f t="shared" si="8"/>
        <v>9750.0018644067804</v>
      </c>
    </row>
    <row r="42" spans="2:10" x14ac:dyDescent="0.3">
      <c r="B42" t="s">
        <v>16</v>
      </c>
      <c r="C42">
        <v>2042</v>
      </c>
      <c r="D42">
        <v>7575</v>
      </c>
      <c r="F42">
        <f t="shared" si="0"/>
        <v>6419.49</v>
      </c>
      <c r="H42">
        <f t="shared" si="6"/>
        <v>6419.4915254237294</v>
      </c>
      <c r="I42">
        <f t="shared" si="7"/>
        <v>1155.5100000000002</v>
      </c>
      <c r="J42" s="1">
        <f t="shared" si="8"/>
        <v>7575.0015254237296</v>
      </c>
    </row>
    <row r="43" spans="2:10" x14ac:dyDescent="0.3">
      <c r="B43" t="s">
        <v>16</v>
      </c>
      <c r="C43">
        <v>1568</v>
      </c>
      <c r="D43">
        <v>7995</v>
      </c>
      <c r="F43">
        <f t="shared" si="0"/>
        <v>6775.42</v>
      </c>
      <c r="H43">
        <f t="shared" si="6"/>
        <v>6775.42372881356</v>
      </c>
      <c r="I43">
        <f t="shared" si="7"/>
        <v>1219.58</v>
      </c>
      <c r="J43" s="1">
        <f t="shared" si="8"/>
        <v>7995.00372881356</v>
      </c>
    </row>
    <row r="44" spans="2:10" x14ac:dyDescent="0.3">
      <c r="B44" t="s">
        <v>16</v>
      </c>
      <c r="C44">
        <v>1115</v>
      </c>
      <c r="D44">
        <v>12775</v>
      </c>
      <c r="F44">
        <f t="shared" si="0"/>
        <v>10826.27</v>
      </c>
      <c r="H44">
        <f t="shared" si="6"/>
        <v>10826.271186440679</v>
      </c>
      <c r="I44">
        <f t="shared" si="7"/>
        <v>1948.7299999999996</v>
      </c>
      <c r="J44" s="1">
        <f t="shared" si="8"/>
        <v>12775.001186440679</v>
      </c>
    </row>
    <row r="45" spans="2:10" x14ac:dyDescent="0.3">
      <c r="B45" t="s">
        <v>16</v>
      </c>
      <c r="C45">
        <v>1117</v>
      </c>
      <c r="D45">
        <v>15975</v>
      </c>
      <c r="F45">
        <f t="shared" si="0"/>
        <v>13538.14</v>
      </c>
      <c r="H45">
        <f t="shared" si="6"/>
        <v>13538.135593220341</v>
      </c>
      <c r="I45">
        <f t="shared" si="7"/>
        <v>2436.8600000000006</v>
      </c>
      <c r="J45" s="1">
        <f t="shared" si="8"/>
        <v>15974.995593220341</v>
      </c>
    </row>
    <row r="46" spans="2:10" x14ac:dyDescent="0.3">
      <c r="B46" t="s">
        <v>17</v>
      </c>
      <c r="C46">
        <v>1399</v>
      </c>
      <c r="D46">
        <v>9750</v>
      </c>
      <c r="F46">
        <f t="shared" si="0"/>
        <v>8262.7099999999991</v>
      </c>
      <c r="H46">
        <f t="shared" si="6"/>
        <v>8262.7118644067796</v>
      </c>
      <c r="I46">
        <f t="shared" si="7"/>
        <v>1487.2900000000009</v>
      </c>
      <c r="J46" s="1">
        <f t="shared" si="8"/>
        <v>9750.0018644067804</v>
      </c>
    </row>
    <row r="47" spans="2:10" x14ac:dyDescent="0.3">
      <c r="B47" t="s">
        <v>18</v>
      </c>
      <c r="C47">
        <v>1099</v>
      </c>
      <c r="D47">
        <v>17575</v>
      </c>
      <c r="F47">
        <f t="shared" si="0"/>
        <v>14894.07</v>
      </c>
      <c r="H47">
        <f t="shared" si="6"/>
        <v>14894.06779661017</v>
      </c>
      <c r="I47">
        <f t="shared" si="7"/>
        <v>2680.9300000000003</v>
      </c>
      <c r="J47" s="1">
        <f t="shared" si="8"/>
        <v>17574.997796610172</v>
      </c>
    </row>
    <row r="50" spans="2:10" x14ac:dyDescent="0.3">
      <c r="B50" t="s">
        <v>21</v>
      </c>
      <c r="C50">
        <v>658</v>
      </c>
      <c r="D50">
        <v>9975</v>
      </c>
      <c r="F50">
        <f t="shared" si="0"/>
        <v>8453.39</v>
      </c>
      <c r="H50">
        <f t="shared" ref="H50" si="9">D50/1.18</f>
        <v>8453.3898305084749</v>
      </c>
      <c r="I50">
        <f t="shared" ref="I50" si="10">D50-F50</f>
        <v>1521.6100000000006</v>
      </c>
      <c r="J50" s="1">
        <f t="shared" ref="J50" si="11">SUM(H50:I50)</f>
        <v>9974.9998305084755</v>
      </c>
    </row>
    <row r="51" spans="2:10" x14ac:dyDescent="0.3">
      <c r="B51" t="s">
        <v>21</v>
      </c>
      <c r="C51">
        <v>2883</v>
      </c>
      <c r="D51">
        <v>6850</v>
      </c>
      <c r="F51">
        <f t="shared" si="0"/>
        <v>5805.08</v>
      </c>
      <c r="H51">
        <f t="shared" ref="H51:H109" si="12">D51/1.18</f>
        <v>5805.0847457627124</v>
      </c>
      <c r="I51">
        <f t="shared" ref="I51:I109" si="13">D51-F51</f>
        <v>1044.92</v>
      </c>
      <c r="J51" s="1">
        <f t="shared" ref="J51:J109" si="14">SUM(H51:I51)</f>
        <v>6850.0047457627124</v>
      </c>
    </row>
    <row r="52" spans="2:10" x14ac:dyDescent="0.3">
      <c r="B52" t="s">
        <v>21</v>
      </c>
      <c r="C52">
        <v>2907</v>
      </c>
      <c r="D52">
        <v>15750</v>
      </c>
      <c r="F52">
        <f t="shared" si="0"/>
        <v>13347.46</v>
      </c>
      <c r="H52">
        <f t="shared" si="12"/>
        <v>13347.457627118645</v>
      </c>
      <c r="I52">
        <f t="shared" si="13"/>
        <v>2402.5400000000009</v>
      </c>
      <c r="J52" s="1">
        <f t="shared" si="14"/>
        <v>15749.997627118646</v>
      </c>
    </row>
    <row r="53" spans="2:10" x14ac:dyDescent="0.3">
      <c r="B53" t="s">
        <v>21</v>
      </c>
      <c r="C53">
        <v>2897</v>
      </c>
      <c r="D53">
        <v>13250</v>
      </c>
      <c r="F53">
        <f t="shared" si="0"/>
        <v>11228.81</v>
      </c>
      <c r="H53">
        <f t="shared" si="12"/>
        <v>11228.813559322034</v>
      </c>
      <c r="I53">
        <f t="shared" si="13"/>
        <v>2021.1900000000005</v>
      </c>
      <c r="J53" s="1">
        <f t="shared" si="14"/>
        <v>13250.003559322035</v>
      </c>
    </row>
    <row r="54" spans="2:10" x14ac:dyDescent="0.3">
      <c r="B54" t="s">
        <v>21</v>
      </c>
      <c r="C54">
        <v>658</v>
      </c>
      <c r="D54">
        <v>9975</v>
      </c>
      <c r="F54">
        <f t="shared" si="0"/>
        <v>8453.39</v>
      </c>
      <c r="H54">
        <f t="shared" si="12"/>
        <v>8453.3898305084749</v>
      </c>
      <c r="I54">
        <f t="shared" si="13"/>
        <v>1521.6100000000006</v>
      </c>
      <c r="J54" s="1">
        <f t="shared" si="14"/>
        <v>9974.9998305084755</v>
      </c>
    </row>
    <row r="55" spans="2:10" x14ac:dyDescent="0.3">
      <c r="B55" t="s">
        <v>21</v>
      </c>
      <c r="C55">
        <v>339</v>
      </c>
      <c r="D55">
        <v>19595</v>
      </c>
      <c r="F55">
        <f t="shared" si="0"/>
        <v>16605.93</v>
      </c>
      <c r="H55">
        <f t="shared" si="12"/>
        <v>16605.932203389832</v>
      </c>
      <c r="I55">
        <f t="shared" si="13"/>
        <v>2989.0699999999997</v>
      </c>
      <c r="J55" s="1">
        <f t="shared" si="14"/>
        <v>19595.002203389831</v>
      </c>
    </row>
    <row r="56" spans="2:10" x14ac:dyDescent="0.3">
      <c r="B56" t="s">
        <v>21</v>
      </c>
      <c r="C56">
        <v>2907</v>
      </c>
      <c r="D56">
        <v>15750</v>
      </c>
      <c r="F56">
        <f t="shared" si="0"/>
        <v>13347.46</v>
      </c>
      <c r="H56">
        <f t="shared" si="12"/>
        <v>13347.457627118645</v>
      </c>
      <c r="I56">
        <f t="shared" si="13"/>
        <v>2402.5400000000009</v>
      </c>
      <c r="J56" s="1">
        <f t="shared" si="14"/>
        <v>15749.997627118646</v>
      </c>
    </row>
    <row r="57" spans="2:10" x14ac:dyDescent="0.3">
      <c r="B57" t="s">
        <v>21</v>
      </c>
      <c r="C57">
        <v>333</v>
      </c>
      <c r="D57">
        <v>19255</v>
      </c>
      <c r="F57">
        <f t="shared" si="0"/>
        <v>16317.8</v>
      </c>
      <c r="H57">
        <f t="shared" si="12"/>
        <v>16317.796610169493</v>
      </c>
      <c r="I57">
        <f t="shared" si="13"/>
        <v>2937.2000000000007</v>
      </c>
      <c r="J57" s="1">
        <f t="shared" si="14"/>
        <v>19254.996610169495</v>
      </c>
    </row>
    <row r="58" spans="2:10" x14ac:dyDescent="0.3">
      <c r="B58" t="s">
        <v>21</v>
      </c>
      <c r="C58">
        <v>657</v>
      </c>
      <c r="D58">
        <v>11750</v>
      </c>
      <c r="F58">
        <f t="shared" si="0"/>
        <v>9957.6299999999992</v>
      </c>
      <c r="H58">
        <f t="shared" si="12"/>
        <v>9957.6271186440681</v>
      </c>
      <c r="I58">
        <f t="shared" si="13"/>
        <v>1792.3700000000008</v>
      </c>
      <c r="J58" s="1">
        <f t="shared" si="14"/>
        <v>11749.997118644069</v>
      </c>
    </row>
    <row r="59" spans="2:10" x14ac:dyDescent="0.3">
      <c r="B59" t="s">
        <v>21</v>
      </c>
      <c r="C59">
        <v>2882</v>
      </c>
      <c r="D59">
        <v>7325</v>
      </c>
      <c r="F59">
        <f t="shared" si="0"/>
        <v>6207.63</v>
      </c>
      <c r="H59">
        <f t="shared" si="12"/>
        <v>6207.6271186440681</v>
      </c>
      <c r="I59">
        <f t="shared" si="13"/>
        <v>1117.3699999999999</v>
      </c>
      <c r="J59" s="1">
        <f t="shared" si="14"/>
        <v>7324.997118644068</v>
      </c>
    </row>
    <row r="60" spans="2:10" x14ac:dyDescent="0.3">
      <c r="B60" t="s">
        <v>21</v>
      </c>
      <c r="C60">
        <v>2899</v>
      </c>
      <c r="D60">
        <v>12250</v>
      </c>
      <c r="F60">
        <f t="shared" si="0"/>
        <v>10381.36</v>
      </c>
      <c r="H60">
        <f t="shared" si="12"/>
        <v>10381.355932203391</v>
      </c>
      <c r="I60">
        <f t="shared" si="13"/>
        <v>1868.6399999999994</v>
      </c>
      <c r="J60" s="1">
        <f t="shared" si="14"/>
        <v>12249.99593220339</v>
      </c>
    </row>
    <row r="61" spans="2:10" x14ac:dyDescent="0.3">
      <c r="B61" t="s">
        <v>21</v>
      </c>
      <c r="C61">
        <v>2898</v>
      </c>
      <c r="D61">
        <v>5575</v>
      </c>
      <c r="F61">
        <f t="shared" si="0"/>
        <v>4724.58</v>
      </c>
      <c r="H61">
        <f t="shared" si="12"/>
        <v>4724.5762711864409</v>
      </c>
      <c r="I61">
        <f t="shared" si="13"/>
        <v>850.42000000000007</v>
      </c>
      <c r="J61" s="1">
        <f t="shared" si="14"/>
        <v>5574.9962711864409</v>
      </c>
    </row>
    <row r="62" spans="2:10" x14ac:dyDescent="0.3">
      <c r="B62" t="s">
        <v>21</v>
      </c>
      <c r="C62">
        <v>2887</v>
      </c>
      <c r="D62">
        <v>12750</v>
      </c>
      <c r="F62">
        <f t="shared" si="0"/>
        <v>10805.08</v>
      </c>
      <c r="H62">
        <f t="shared" si="12"/>
        <v>10805.084745762713</v>
      </c>
      <c r="I62">
        <f t="shared" si="13"/>
        <v>1944.92</v>
      </c>
      <c r="J62" s="1">
        <f t="shared" si="14"/>
        <v>12750.004745762713</v>
      </c>
    </row>
    <row r="63" spans="2:10" x14ac:dyDescent="0.3">
      <c r="B63" t="s">
        <v>21</v>
      </c>
      <c r="C63">
        <v>319</v>
      </c>
      <c r="D63">
        <v>22595</v>
      </c>
      <c r="F63">
        <f t="shared" si="0"/>
        <v>19148.310000000001</v>
      </c>
      <c r="H63">
        <f t="shared" si="12"/>
        <v>19148.305084745763</v>
      </c>
      <c r="I63">
        <f t="shared" si="13"/>
        <v>3446.6899999999987</v>
      </c>
      <c r="J63" s="1">
        <f t="shared" si="14"/>
        <v>22594.995084745762</v>
      </c>
    </row>
    <row r="64" spans="2:10" x14ac:dyDescent="0.3">
      <c r="B64" t="s">
        <v>21</v>
      </c>
      <c r="C64">
        <v>335</v>
      </c>
      <c r="D64">
        <v>19995</v>
      </c>
      <c r="F64">
        <f t="shared" si="0"/>
        <v>16944.919999999998</v>
      </c>
      <c r="H64">
        <f t="shared" si="12"/>
        <v>16944.91525423729</v>
      </c>
      <c r="I64">
        <f t="shared" si="13"/>
        <v>3050.0800000000017</v>
      </c>
      <c r="J64" s="1">
        <f t="shared" si="14"/>
        <v>19994.995254237292</v>
      </c>
    </row>
    <row r="65" spans="2:10" x14ac:dyDescent="0.3">
      <c r="B65" t="s">
        <v>21</v>
      </c>
      <c r="C65">
        <v>336</v>
      </c>
      <c r="D65">
        <v>17995</v>
      </c>
      <c r="F65">
        <f t="shared" si="0"/>
        <v>15250</v>
      </c>
      <c r="H65">
        <f t="shared" si="12"/>
        <v>15250</v>
      </c>
      <c r="I65">
        <f t="shared" si="13"/>
        <v>2745</v>
      </c>
      <c r="J65" s="1">
        <f t="shared" si="14"/>
        <v>17995</v>
      </c>
    </row>
    <row r="66" spans="2:10" x14ac:dyDescent="0.3">
      <c r="B66" t="s">
        <v>21</v>
      </c>
      <c r="C66">
        <v>660</v>
      </c>
      <c r="D66">
        <v>9675</v>
      </c>
      <c r="F66">
        <f t="shared" si="0"/>
        <v>8199.15</v>
      </c>
      <c r="H66">
        <f t="shared" si="12"/>
        <v>8199.1525423728817</v>
      </c>
      <c r="I66">
        <f t="shared" si="13"/>
        <v>1475.8500000000004</v>
      </c>
      <c r="J66" s="1">
        <f t="shared" si="14"/>
        <v>9675.0025423728821</v>
      </c>
    </row>
    <row r="67" spans="2:10" x14ac:dyDescent="0.3">
      <c r="B67" t="s">
        <v>21</v>
      </c>
      <c r="C67">
        <v>2885</v>
      </c>
      <c r="D67">
        <v>8250</v>
      </c>
      <c r="F67">
        <f t="shared" si="0"/>
        <v>6991.53</v>
      </c>
      <c r="H67">
        <f t="shared" si="12"/>
        <v>6991.5254237288136</v>
      </c>
      <c r="I67">
        <f t="shared" si="13"/>
        <v>1258.4700000000003</v>
      </c>
      <c r="J67" s="1">
        <f t="shared" si="14"/>
        <v>8249.9954237288148</v>
      </c>
    </row>
    <row r="68" spans="2:10" x14ac:dyDescent="0.3">
      <c r="B68" t="s">
        <v>21</v>
      </c>
      <c r="C68">
        <v>2905</v>
      </c>
      <c r="D68">
        <v>18500</v>
      </c>
      <c r="F68">
        <f t="shared" ref="F68:F109" si="15">ROUND(IF(D68&gt;2500, D68/1.18, D68/1.05),2)</f>
        <v>15677.97</v>
      </c>
      <c r="H68">
        <f t="shared" si="12"/>
        <v>15677.966101694916</v>
      </c>
      <c r="I68">
        <f t="shared" si="13"/>
        <v>2822.0300000000007</v>
      </c>
      <c r="J68" s="1">
        <f t="shared" si="14"/>
        <v>18499.996101694916</v>
      </c>
    </row>
    <row r="69" spans="2:10" x14ac:dyDescent="0.3">
      <c r="B69" t="s">
        <v>21</v>
      </c>
      <c r="C69">
        <v>2901</v>
      </c>
      <c r="D69">
        <v>12975</v>
      </c>
      <c r="F69">
        <f t="shared" si="15"/>
        <v>10995.76</v>
      </c>
      <c r="H69">
        <f t="shared" si="12"/>
        <v>10995.762711864407</v>
      </c>
      <c r="I69">
        <f t="shared" si="13"/>
        <v>1979.2399999999998</v>
      </c>
      <c r="J69" s="1">
        <f t="shared" si="14"/>
        <v>12975.002711864407</v>
      </c>
    </row>
    <row r="70" spans="2:10" x14ac:dyDescent="0.3">
      <c r="B70" t="s">
        <v>21</v>
      </c>
      <c r="C70">
        <v>2884</v>
      </c>
      <c r="D70">
        <v>8250</v>
      </c>
      <c r="F70">
        <f t="shared" si="15"/>
        <v>6991.53</v>
      </c>
      <c r="H70">
        <f t="shared" si="12"/>
        <v>6991.5254237288136</v>
      </c>
      <c r="I70">
        <f t="shared" si="13"/>
        <v>1258.4700000000003</v>
      </c>
      <c r="J70" s="1">
        <f t="shared" si="14"/>
        <v>8249.9954237288148</v>
      </c>
    </row>
    <row r="71" spans="2:10" x14ac:dyDescent="0.3">
      <c r="B71" t="s">
        <v>21</v>
      </c>
      <c r="C71">
        <v>659</v>
      </c>
      <c r="D71">
        <v>9975</v>
      </c>
      <c r="F71">
        <f t="shared" si="15"/>
        <v>8453.39</v>
      </c>
      <c r="H71">
        <f t="shared" si="12"/>
        <v>8453.3898305084749</v>
      </c>
      <c r="I71">
        <f t="shared" si="13"/>
        <v>1521.6100000000006</v>
      </c>
      <c r="J71" s="1">
        <f t="shared" si="14"/>
        <v>9974.9998305084755</v>
      </c>
    </row>
    <row r="72" spans="2:10" x14ac:dyDescent="0.3">
      <c r="B72" t="s">
        <v>21</v>
      </c>
      <c r="C72">
        <v>2900</v>
      </c>
      <c r="D72">
        <v>6350</v>
      </c>
      <c r="F72">
        <f t="shared" si="15"/>
        <v>5381.36</v>
      </c>
      <c r="H72">
        <f t="shared" si="12"/>
        <v>5381.3559322033898</v>
      </c>
      <c r="I72">
        <f t="shared" si="13"/>
        <v>968.64000000000033</v>
      </c>
      <c r="J72" s="1">
        <f t="shared" si="14"/>
        <v>6349.9959322033901</v>
      </c>
    </row>
    <row r="73" spans="2:10" x14ac:dyDescent="0.3">
      <c r="B73" t="s">
        <v>21</v>
      </c>
      <c r="C73">
        <v>334</v>
      </c>
      <c r="D73">
        <v>19295</v>
      </c>
      <c r="F73">
        <f t="shared" si="15"/>
        <v>16351.69</v>
      </c>
      <c r="H73">
        <f t="shared" si="12"/>
        <v>16351.694915254238</v>
      </c>
      <c r="I73">
        <f t="shared" si="13"/>
        <v>2943.3099999999995</v>
      </c>
      <c r="J73" s="1">
        <f t="shared" si="14"/>
        <v>19295.004915254238</v>
      </c>
    </row>
    <row r="74" spans="2:10" x14ac:dyDescent="0.3">
      <c r="B74" t="s">
        <v>21</v>
      </c>
      <c r="C74">
        <v>661</v>
      </c>
      <c r="D74">
        <v>7575</v>
      </c>
      <c r="F74">
        <f t="shared" si="15"/>
        <v>6419.49</v>
      </c>
      <c r="H74">
        <f t="shared" si="12"/>
        <v>6419.4915254237294</v>
      </c>
      <c r="I74">
        <f t="shared" si="13"/>
        <v>1155.5100000000002</v>
      </c>
      <c r="J74" s="1">
        <f t="shared" si="14"/>
        <v>7575.0015254237296</v>
      </c>
    </row>
    <row r="75" spans="2:10" x14ac:dyDescent="0.3">
      <c r="B75" t="s">
        <v>21</v>
      </c>
      <c r="C75">
        <v>2891</v>
      </c>
      <c r="D75">
        <v>13250</v>
      </c>
      <c r="F75">
        <f t="shared" si="15"/>
        <v>11228.81</v>
      </c>
      <c r="H75">
        <f t="shared" si="12"/>
        <v>11228.813559322034</v>
      </c>
      <c r="I75">
        <f t="shared" si="13"/>
        <v>2021.1900000000005</v>
      </c>
      <c r="J75" s="1">
        <f t="shared" si="14"/>
        <v>13250.003559322035</v>
      </c>
    </row>
    <row r="76" spans="2:10" x14ac:dyDescent="0.3">
      <c r="B76" t="s">
        <v>21</v>
      </c>
      <c r="C76">
        <v>2894</v>
      </c>
      <c r="D76">
        <v>7150</v>
      </c>
      <c r="F76">
        <f t="shared" si="15"/>
        <v>6059.32</v>
      </c>
      <c r="H76">
        <f t="shared" si="12"/>
        <v>6059.3220338983056</v>
      </c>
      <c r="I76">
        <f t="shared" si="13"/>
        <v>1090.6800000000003</v>
      </c>
      <c r="J76" s="1">
        <f t="shared" si="14"/>
        <v>7150.0020338983059</v>
      </c>
    </row>
    <row r="77" spans="2:10" x14ac:dyDescent="0.3">
      <c r="B77" t="s">
        <v>21</v>
      </c>
      <c r="C77">
        <v>323</v>
      </c>
      <c r="D77">
        <v>11595</v>
      </c>
      <c r="F77">
        <f t="shared" si="15"/>
        <v>9826.27</v>
      </c>
      <c r="H77">
        <f t="shared" si="12"/>
        <v>9826.2711864406792</v>
      </c>
      <c r="I77">
        <f t="shared" si="13"/>
        <v>1768.7299999999996</v>
      </c>
      <c r="J77" s="1">
        <f t="shared" si="14"/>
        <v>11595.001186440679</v>
      </c>
    </row>
    <row r="78" spans="2:10" x14ac:dyDescent="0.3">
      <c r="B78" t="s">
        <v>21</v>
      </c>
      <c r="C78">
        <v>663</v>
      </c>
      <c r="D78">
        <v>11995</v>
      </c>
      <c r="F78">
        <f t="shared" si="15"/>
        <v>10165.25</v>
      </c>
      <c r="H78">
        <f t="shared" si="12"/>
        <v>10165.254237288136</v>
      </c>
      <c r="I78">
        <f t="shared" si="13"/>
        <v>1829.75</v>
      </c>
      <c r="J78" s="1">
        <f t="shared" si="14"/>
        <v>11995.004237288136</v>
      </c>
    </row>
    <row r="79" spans="2:10" x14ac:dyDescent="0.3">
      <c r="B79" t="s">
        <v>21</v>
      </c>
      <c r="C79">
        <v>660</v>
      </c>
      <c r="D79">
        <v>9675</v>
      </c>
      <c r="F79">
        <f t="shared" si="15"/>
        <v>8199.15</v>
      </c>
      <c r="H79">
        <f t="shared" si="12"/>
        <v>8199.1525423728817</v>
      </c>
      <c r="I79">
        <f t="shared" si="13"/>
        <v>1475.8500000000004</v>
      </c>
      <c r="J79" s="1">
        <f t="shared" si="14"/>
        <v>9675.0025423728821</v>
      </c>
    </row>
    <row r="80" spans="2:10" x14ac:dyDescent="0.3">
      <c r="B80" t="s">
        <v>21</v>
      </c>
      <c r="C80">
        <v>332</v>
      </c>
      <c r="D80">
        <v>15995</v>
      </c>
      <c r="F80">
        <f t="shared" si="15"/>
        <v>13555.08</v>
      </c>
      <c r="H80">
        <f t="shared" si="12"/>
        <v>13555.084745762713</v>
      </c>
      <c r="I80">
        <f t="shared" si="13"/>
        <v>2439.92</v>
      </c>
      <c r="J80" s="1">
        <f t="shared" si="14"/>
        <v>15995.004745762713</v>
      </c>
    </row>
    <row r="81" spans="2:10" x14ac:dyDescent="0.3">
      <c r="B81" t="s">
        <v>21</v>
      </c>
      <c r="C81">
        <v>325</v>
      </c>
      <c r="D81">
        <v>11795</v>
      </c>
      <c r="F81">
        <f t="shared" si="15"/>
        <v>9995.76</v>
      </c>
      <c r="H81">
        <f t="shared" si="12"/>
        <v>9995.7627118644068</v>
      </c>
      <c r="I81">
        <f t="shared" si="13"/>
        <v>1799.2399999999998</v>
      </c>
      <c r="J81" s="1">
        <f t="shared" si="14"/>
        <v>11795.002711864407</v>
      </c>
    </row>
    <row r="82" spans="2:10" x14ac:dyDescent="0.3">
      <c r="B82" t="s">
        <v>21</v>
      </c>
      <c r="C82">
        <v>324</v>
      </c>
      <c r="D82">
        <v>11795</v>
      </c>
      <c r="F82">
        <f t="shared" si="15"/>
        <v>9995.76</v>
      </c>
      <c r="H82">
        <f t="shared" si="12"/>
        <v>9995.7627118644068</v>
      </c>
      <c r="I82">
        <f t="shared" si="13"/>
        <v>1799.2399999999998</v>
      </c>
      <c r="J82" s="1">
        <f t="shared" si="14"/>
        <v>11795.002711864407</v>
      </c>
    </row>
    <row r="83" spans="2:10" x14ac:dyDescent="0.3">
      <c r="B83" t="s">
        <v>21</v>
      </c>
      <c r="C83">
        <v>659</v>
      </c>
      <c r="D83">
        <v>9975</v>
      </c>
      <c r="F83">
        <f t="shared" si="15"/>
        <v>8453.39</v>
      </c>
      <c r="H83">
        <f t="shared" si="12"/>
        <v>8453.3898305084749</v>
      </c>
      <c r="I83">
        <f t="shared" si="13"/>
        <v>1521.6100000000006</v>
      </c>
      <c r="J83" s="1">
        <f t="shared" si="14"/>
        <v>9974.9998305084755</v>
      </c>
    </row>
    <row r="84" spans="2:10" x14ac:dyDescent="0.3">
      <c r="B84" t="s">
        <v>21</v>
      </c>
      <c r="C84">
        <v>2893</v>
      </c>
      <c r="D84">
        <v>12750</v>
      </c>
      <c r="F84">
        <f t="shared" si="15"/>
        <v>10805.08</v>
      </c>
      <c r="H84">
        <f t="shared" si="12"/>
        <v>10805.084745762713</v>
      </c>
      <c r="I84">
        <f t="shared" si="13"/>
        <v>1944.92</v>
      </c>
      <c r="J84" s="1">
        <f t="shared" si="14"/>
        <v>12750.004745762713</v>
      </c>
    </row>
    <row r="85" spans="2:10" x14ac:dyDescent="0.3">
      <c r="B85" t="s">
        <v>21</v>
      </c>
      <c r="C85">
        <v>2902</v>
      </c>
      <c r="D85">
        <v>16500</v>
      </c>
      <c r="F85">
        <f t="shared" si="15"/>
        <v>13983.05</v>
      </c>
      <c r="H85">
        <f t="shared" si="12"/>
        <v>13983.050847457627</v>
      </c>
      <c r="I85">
        <f t="shared" si="13"/>
        <v>2516.9500000000007</v>
      </c>
      <c r="J85" s="1">
        <f t="shared" si="14"/>
        <v>16500.000847457628</v>
      </c>
    </row>
    <row r="86" spans="2:10" x14ac:dyDescent="0.3">
      <c r="B86" t="s">
        <v>21</v>
      </c>
      <c r="C86">
        <v>320</v>
      </c>
      <c r="D86">
        <v>11595</v>
      </c>
      <c r="F86">
        <f t="shared" si="15"/>
        <v>9826.27</v>
      </c>
      <c r="H86">
        <f t="shared" si="12"/>
        <v>9826.2711864406792</v>
      </c>
      <c r="I86">
        <f t="shared" si="13"/>
        <v>1768.7299999999996</v>
      </c>
      <c r="J86" s="1">
        <f t="shared" si="14"/>
        <v>11595.001186440679</v>
      </c>
    </row>
    <row r="87" spans="2:10" x14ac:dyDescent="0.3">
      <c r="B87" t="s">
        <v>21</v>
      </c>
      <c r="C87">
        <v>322</v>
      </c>
      <c r="D87">
        <v>11595</v>
      </c>
      <c r="F87">
        <f t="shared" si="15"/>
        <v>9826.27</v>
      </c>
      <c r="H87">
        <f t="shared" si="12"/>
        <v>9826.2711864406792</v>
      </c>
      <c r="I87">
        <f t="shared" si="13"/>
        <v>1768.7299999999996</v>
      </c>
      <c r="J87" s="1">
        <f t="shared" si="14"/>
        <v>11595.001186440679</v>
      </c>
    </row>
    <row r="88" spans="2:10" x14ac:dyDescent="0.3">
      <c r="B88" t="s">
        <v>21</v>
      </c>
      <c r="C88">
        <v>12912</v>
      </c>
      <c r="D88">
        <v>14450</v>
      </c>
      <c r="F88">
        <f t="shared" si="15"/>
        <v>12245.76</v>
      </c>
      <c r="H88">
        <f t="shared" si="12"/>
        <v>12245.762711864407</v>
      </c>
      <c r="I88">
        <f t="shared" si="13"/>
        <v>2204.2399999999998</v>
      </c>
      <c r="J88" s="1">
        <f t="shared" si="14"/>
        <v>14450.002711864407</v>
      </c>
    </row>
    <row r="89" spans="2:10" x14ac:dyDescent="0.3">
      <c r="B89" t="s">
        <v>21</v>
      </c>
      <c r="C89">
        <v>657</v>
      </c>
      <c r="D89">
        <v>11750</v>
      </c>
      <c r="F89">
        <f t="shared" si="15"/>
        <v>9957.6299999999992</v>
      </c>
      <c r="H89">
        <f t="shared" si="12"/>
        <v>9957.6271186440681</v>
      </c>
      <c r="I89">
        <f t="shared" si="13"/>
        <v>1792.3700000000008</v>
      </c>
      <c r="J89" s="1">
        <f t="shared" si="14"/>
        <v>11749.997118644069</v>
      </c>
    </row>
    <row r="90" spans="2:10" x14ac:dyDescent="0.3">
      <c r="B90" t="s">
        <v>21</v>
      </c>
      <c r="C90">
        <v>321</v>
      </c>
      <c r="D90">
        <v>11595</v>
      </c>
      <c r="F90">
        <f t="shared" si="15"/>
        <v>9826.27</v>
      </c>
      <c r="H90">
        <f t="shared" si="12"/>
        <v>9826.2711864406792</v>
      </c>
      <c r="I90">
        <f t="shared" si="13"/>
        <v>1768.7299999999996</v>
      </c>
      <c r="J90" s="1">
        <f t="shared" si="14"/>
        <v>11595.001186440679</v>
      </c>
    </row>
    <row r="91" spans="2:10" x14ac:dyDescent="0.3">
      <c r="B91" t="s">
        <v>21</v>
      </c>
      <c r="C91">
        <v>2900</v>
      </c>
      <c r="D91">
        <v>6350</v>
      </c>
      <c r="F91">
        <f t="shared" si="15"/>
        <v>5381.36</v>
      </c>
      <c r="H91">
        <f t="shared" si="12"/>
        <v>5381.3559322033898</v>
      </c>
      <c r="I91">
        <f t="shared" si="13"/>
        <v>968.64000000000033</v>
      </c>
      <c r="J91" s="1">
        <f t="shared" si="14"/>
        <v>6349.9959322033901</v>
      </c>
    </row>
    <row r="92" spans="2:10" x14ac:dyDescent="0.3">
      <c r="B92" t="s">
        <v>21</v>
      </c>
      <c r="C92">
        <v>2878</v>
      </c>
      <c r="D92">
        <v>23950</v>
      </c>
      <c r="F92">
        <f t="shared" si="15"/>
        <v>20296.61</v>
      </c>
      <c r="H92">
        <f t="shared" si="12"/>
        <v>20296.610169491527</v>
      </c>
      <c r="I92">
        <f t="shared" si="13"/>
        <v>3653.3899999999994</v>
      </c>
      <c r="J92" s="1">
        <f t="shared" si="14"/>
        <v>23950.000169491526</v>
      </c>
    </row>
    <row r="93" spans="2:10" x14ac:dyDescent="0.3">
      <c r="B93" t="s">
        <v>21</v>
      </c>
      <c r="C93">
        <v>2288</v>
      </c>
      <c r="D93">
        <v>14150</v>
      </c>
      <c r="F93">
        <f t="shared" si="15"/>
        <v>11991.53</v>
      </c>
      <c r="H93">
        <f t="shared" si="12"/>
        <v>11991.525423728814</v>
      </c>
      <c r="I93">
        <f t="shared" si="13"/>
        <v>2158.4699999999993</v>
      </c>
      <c r="J93" s="1">
        <f t="shared" si="14"/>
        <v>14149.995423728813</v>
      </c>
    </row>
    <row r="94" spans="2:10" x14ac:dyDescent="0.3">
      <c r="B94" t="s">
        <v>21</v>
      </c>
      <c r="C94">
        <v>664</v>
      </c>
      <c r="D94">
        <v>11995</v>
      </c>
      <c r="F94">
        <f t="shared" si="15"/>
        <v>10165.25</v>
      </c>
      <c r="H94">
        <f t="shared" si="12"/>
        <v>10165.254237288136</v>
      </c>
      <c r="I94">
        <f t="shared" si="13"/>
        <v>1829.75</v>
      </c>
      <c r="J94" s="1">
        <f t="shared" si="14"/>
        <v>11995.004237288136</v>
      </c>
    </row>
    <row r="95" spans="2:10" x14ac:dyDescent="0.3">
      <c r="B95" t="s">
        <v>21</v>
      </c>
      <c r="C95">
        <v>2903</v>
      </c>
      <c r="D95">
        <v>18950</v>
      </c>
      <c r="F95">
        <f t="shared" si="15"/>
        <v>16059.32</v>
      </c>
      <c r="H95">
        <f t="shared" si="12"/>
        <v>16059.322033898306</v>
      </c>
      <c r="I95">
        <f t="shared" si="13"/>
        <v>2890.6800000000003</v>
      </c>
      <c r="J95" s="1">
        <f t="shared" si="14"/>
        <v>18950.002033898309</v>
      </c>
    </row>
    <row r="96" spans="2:10" x14ac:dyDescent="0.3">
      <c r="B96" t="s">
        <v>21</v>
      </c>
      <c r="C96">
        <v>2904</v>
      </c>
      <c r="D96">
        <v>20500</v>
      </c>
      <c r="F96">
        <f t="shared" si="15"/>
        <v>17372.88</v>
      </c>
      <c r="H96">
        <f t="shared" si="12"/>
        <v>17372.881355932204</v>
      </c>
      <c r="I96">
        <f t="shared" si="13"/>
        <v>3127.119999999999</v>
      </c>
      <c r="J96" s="1">
        <f t="shared" si="14"/>
        <v>20500.001355932203</v>
      </c>
    </row>
    <row r="97" spans="2:10" x14ac:dyDescent="0.3">
      <c r="B97" t="s">
        <v>21</v>
      </c>
      <c r="C97">
        <v>2909</v>
      </c>
      <c r="D97">
        <v>13250</v>
      </c>
      <c r="F97">
        <f t="shared" si="15"/>
        <v>11228.81</v>
      </c>
      <c r="H97">
        <f t="shared" si="12"/>
        <v>11228.813559322034</v>
      </c>
      <c r="I97">
        <f t="shared" si="13"/>
        <v>2021.1900000000005</v>
      </c>
      <c r="J97" s="1">
        <f t="shared" si="14"/>
        <v>13250.003559322035</v>
      </c>
    </row>
    <row r="98" spans="2:10" x14ac:dyDescent="0.3">
      <c r="B98" t="s">
        <v>21</v>
      </c>
      <c r="C98">
        <v>661</v>
      </c>
      <c r="D98">
        <v>7575</v>
      </c>
      <c r="F98">
        <f t="shared" si="15"/>
        <v>6419.49</v>
      </c>
      <c r="H98">
        <f t="shared" si="12"/>
        <v>6419.4915254237294</v>
      </c>
      <c r="I98">
        <f t="shared" si="13"/>
        <v>1155.5100000000002</v>
      </c>
      <c r="J98" s="1">
        <f t="shared" si="14"/>
        <v>7575.0015254237296</v>
      </c>
    </row>
    <row r="99" spans="2:10" x14ac:dyDescent="0.3">
      <c r="B99" t="s">
        <v>21</v>
      </c>
      <c r="C99">
        <v>2893</v>
      </c>
      <c r="D99">
        <v>12750</v>
      </c>
      <c r="F99">
        <f t="shared" si="15"/>
        <v>10805.08</v>
      </c>
      <c r="H99">
        <f t="shared" si="12"/>
        <v>10805.084745762713</v>
      </c>
      <c r="I99">
        <f t="shared" si="13"/>
        <v>1944.92</v>
      </c>
      <c r="J99" s="1">
        <f t="shared" si="14"/>
        <v>12750.004745762713</v>
      </c>
    </row>
    <row r="100" spans="2:10" x14ac:dyDescent="0.3">
      <c r="B100" t="s">
        <v>21</v>
      </c>
      <c r="C100">
        <v>2876</v>
      </c>
      <c r="D100">
        <v>24500</v>
      </c>
      <c r="F100">
        <f t="shared" si="15"/>
        <v>20762.71</v>
      </c>
      <c r="H100">
        <f t="shared" si="12"/>
        <v>20762.711864406781</v>
      </c>
      <c r="I100">
        <f t="shared" si="13"/>
        <v>3737.2900000000009</v>
      </c>
      <c r="J100" s="1">
        <f t="shared" si="14"/>
        <v>24500.001864406782</v>
      </c>
    </row>
    <row r="101" spans="2:10" x14ac:dyDescent="0.3">
      <c r="B101" t="s">
        <v>21</v>
      </c>
      <c r="C101">
        <v>2881</v>
      </c>
      <c r="D101">
        <v>8125</v>
      </c>
      <c r="F101">
        <f t="shared" si="15"/>
        <v>6885.59</v>
      </c>
      <c r="H101">
        <f t="shared" si="12"/>
        <v>6885.593220338983</v>
      </c>
      <c r="I101">
        <f t="shared" si="13"/>
        <v>1239.4099999999999</v>
      </c>
      <c r="J101" s="1">
        <f t="shared" si="14"/>
        <v>8125.0032203389828</v>
      </c>
    </row>
    <row r="102" spans="2:10" x14ac:dyDescent="0.3">
      <c r="B102" t="s">
        <v>21</v>
      </c>
      <c r="C102">
        <v>2906</v>
      </c>
      <c r="D102">
        <v>19750</v>
      </c>
      <c r="F102">
        <f t="shared" si="15"/>
        <v>16737.29</v>
      </c>
      <c r="H102">
        <f t="shared" si="12"/>
        <v>16737.288135593222</v>
      </c>
      <c r="I102">
        <f t="shared" si="13"/>
        <v>3012.7099999999991</v>
      </c>
      <c r="J102" s="1">
        <f t="shared" si="14"/>
        <v>19749.998135593221</v>
      </c>
    </row>
    <row r="103" spans="2:10" x14ac:dyDescent="0.3">
      <c r="B103" t="s">
        <v>21</v>
      </c>
      <c r="C103">
        <v>2901</v>
      </c>
      <c r="D103">
        <v>12975</v>
      </c>
      <c r="F103">
        <f t="shared" si="15"/>
        <v>10995.76</v>
      </c>
      <c r="H103">
        <f t="shared" si="12"/>
        <v>10995.762711864407</v>
      </c>
      <c r="I103">
        <f t="shared" si="13"/>
        <v>1979.2399999999998</v>
      </c>
      <c r="J103" s="1">
        <f t="shared" si="14"/>
        <v>12975.002711864407</v>
      </c>
    </row>
    <row r="104" spans="2:10" x14ac:dyDescent="0.3">
      <c r="B104" t="s">
        <v>21</v>
      </c>
      <c r="C104">
        <v>2895</v>
      </c>
      <c r="D104">
        <v>8150</v>
      </c>
      <c r="F104">
        <f t="shared" si="15"/>
        <v>6906.78</v>
      </c>
      <c r="H104">
        <f t="shared" si="12"/>
        <v>6906.7796610169498</v>
      </c>
      <c r="I104">
        <f t="shared" si="13"/>
        <v>1243.2200000000003</v>
      </c>
      <c r="J104" s="1">
        <f t="shared" si="14"/>
        <v>8149.9996610169501</v>
      </c>
    </row>
    <row r="105" spans="2:10" x14ac:dyDescent="0.3">
      <c r="B105" t="s">
        <v>21</v>
      </c>
      <c r="C105">
        <v>2889</v>
      </c>
      <c r="D105">
        <v>13725</v>
      </c>
      <c r="F105">
        <f t="shared" si="15"/>
        <v>11631.36</v>
      </c>
      <c r="H105">
        <f t="shared" si="12"/>
        <v>11631.355932203391</v>
      </c>
      <c r="I105">
        <f t="shared" si="13"/>
        <v>2093.6399999999994</v>
      </c>
      <c r="J105" s="1">
        <f t="shared" si="14"/>
        <v>13724.99593220339</v>
      </c>
    </row>
    <row r="106" spans="2:10" x14ac:dyDescent="0.3">
      <c r="B106" t="s">
        <v>21</v>
      </c>
      <c r="C106">
        <v>2877</v>
      </c>
      <c r="D106">
        <v>20950</v>
      </c>
      <c r="F106">
        <f t="shared" si="15"/>
        <v>17754.240000000002</v>
      </c>
      <c r="H106">
        <f t="shared" si="12"/>
        <v>17754.237288135595</v>
      </c>
      <c r="I106">
        <f t="shared" si="13"/>
        <v>3195.7599999999984</v>
      </c>
      <c r="J106" s="1">
        <f t="shared" si="14"/>
        <v>20949.997288135593</v>
      </c>
    </row>
    <row r="107" spans="2:10" x14ac:dyDescent="0.3">
      <c r="B107" t="s">
        <v>21</v>
      </c>
      <c r="C107">
        <v>2896</v>
      </c>
      <c r="D107">
        <v>13750</v>
      </c>
      <c r="F107">
        <f t="shared" si="15"/>
        <v>11652.54</v>
      </c>
      <c r="H107">
        <f t="shared" si="12"/>
        <v>11652.542372881357</v>
      </c>
      <c r="I107">
        <f t="shared" si="13"/>
        <v>2097.4599999999991</v>
      </c>
      <c r="J107" s="1">
        <f t="shared" si="14"/>
        <v>13750.002372881356</v>
      </c>
    </row>
    <row r="108" spans="2:10" x14ac:dyDescent="0.3">
      <c r="B108" t="s">
        <v>21</v>
      </c>
      <c r="C108">
        <v>2890</v>
      </c>
      <c r="D108">
        <v>12250</v>
      </c>
      <c r="F108">
        <f t="shared" si="15"/>
        <v>10381.36</v>
      </c>
      <c r="H108">
        <f t="shared" si="12"/>
        <v>10381.355932203391</v>
      </c>
      <c r="I108">
        <f t="shared" si="13"/>
        <v>1868.6399999999994</v>
      </c>
      <c r="J108" s="1">
        <f t="shared" si="14"/>
        <v>12249.99593220339</v>
      </c>
    </row>
    <row r="109" spans="2:10" x14ac:dyDescent="0.3">
      <c r="B109" t="s">
        <v>21</v>
      </c>
      <c r="C109">
        <v>2911</v>
      </c>
      <c r="D109">
        <v>14775</v>
      </c>
      <c r="F109">
        <f t="shared" si="15"/>
        <v>12521.19</v>
      </c>
      <c r="H109">
        <f t="shared" si="12"/>
        <v>12521.186440677966</v>
      </c>
      <c r="I109">
        <f t="shared" si="13"/>
        <v>2253.8099999999995</v>
      </c>
      <c r="J109" s="1">
        <f t="shared" si="14"/>
        <v>14774.996440677965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 l ku</vt:lpstr>
      <vt:lpstr> Al ku 2</vt:lpstr>
      <vt:lpstr>Cord Set</vt:lpstr>
      <vt:lpstr>Kurthis</vt:lpstr>
      <vt:lpstr>Anarkali</vt:lpstr>
      <vt:lpstr>Lehanga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rk</dc:creator>
  <cp:lastModifiedBy>Harikrishna M</cp:lastModifiedBy>
  <dcterms:created xsi:type="dcterms:W3CDTF">2015-06-05T18:17:20Z</dcterms:created>
  <dcterms:modified xsi:type="dcterms:W3CDTF">2026-05-13T09:58:54Z</dcterms:modified>
</cp:coreProperties>
</file>