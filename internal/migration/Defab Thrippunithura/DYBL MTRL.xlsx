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4ad478e1d2bb188/Desktop/"/>
    </mc:Choice>
  </mc:AlternateContent>
  <xr:revisionPtr revIDLastSave="5" documentId="11_1B46CFA5A2602A58FFEB19DB636D038902E77D53" xr6:coauthVersionLast="47" xr6:coauthVersionMax="47" xr10:uidLastSave="{B115A397-2A57-4734-B176-1D8C2C401F85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3" i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4" i="2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3" i="3"/>
  <c r="J24" i="2" l="1"/>
  <c r="J87" i="2"/>
  <c r="J23" i="3"/>
  <c r="J63" i="1"/>
  <c r="J38" i="3"/>
  <c r="J20" i="2"/>
  <c r="J37" i="3"/>
  <c r="J30" i="2"/>
  <c r="J56" i="2"/>
  <c r="J40" i="3"/>
  <c r="J39" i="3"/>
  <c r="J5" i="2"/>
  <c r="J3" i="3"/>
  <c r="J87" i="1"/>
  <c r="J55" i="1"/>
  <c r="J23" i="1"/>
  <c r="J7" i="3"/>
  <c r="J31" i="1"/>
  <c r="J84" i="2"/>
  <c r="J52" i="3"/>
  <c r="J76" i="2"/>
  <c r="J91" i="2"/>
  <c r="J11" i="2"/>
  <c r="J69" i="1"/>
  <c r="J41" i="3"/>
  <c r="J9" i="3"/>
  <c r="J65" i="1"/>
  <c r="J24" i="3"/>
  <c r="J50" i="2"/>
  <c r="J47" i="3"/>
  <c r="J42" i="2"/>
  <c r="J26" i="2"/>
  <c r="F4" i="3"/>
  <c r="I4" i="3" s="1"/>
  <c r="J4" i="3" s="1"/>
  <c r="F5" i="3"/>
  <c r="I5" i="3" s="1"/>
  <c r="J5" i="3" s="1"/>
  <c r="F6" i="3"/>
  <c r="I6" i="3" s="1"/>
  <c r="J6" i="3" s="1"/>
  <c r="F7" i="3"/>
  <c r="I7" i="3" s="1"/>
  <c r="F8" i="3"/>
  <c r="I8" i="3" s="1"/>
  <c r="J8" i="3" s="1"/>
  <c r="F9" i="3"/>
  <c r="I9" i="3" s="1"/>
  <c r="F10" i="3"/>
  <c r="I10" i="3" s="1"/>
  <c r="J10" i="3" s="1"/>
  <c r="F11" i="3"/>
  <c r="I11" i="3" s="1"/>
  <c r="J11" i="3" s="1"/>
  <c r="F12" i="3"/>
  <c r="I12" i="3" s="1"/>
  <c r="J12" i="3" s="1"/>
  <c r="F13" i="3"/>
  <c r="I13" i="3" s="1"/>
  <c r="J13" i="3" s="1"/>
  <c r="F14" i="3"/>
  <c r="I14" i="3" s="1"/>
  <c r="J14" i="3" s="1"/>
  <c r="F15" i="3"/>
  <c r="I15" i="3" s="1"/>
  <c r="J15" i="3" s="1"/>
  <c r="F16" i="3"/>
  <c r="I16" i="3" s="1"/>
  <c r="J16" i="3" s="1"/>
  <c r="F17" i="3"/>
  <c r="I17" i="3" s="1"/>
  <c r="J17" i="3" s="1"/>
  <c r="F18" i="3"/>
  <c r="I18" i="3" s="1"/>
  <c r="J18" i="3" s="1"/>
  <c r="F19" i="3"/>
  <c r="I19" i="3" s="1"/>
  <c r="J19" i="3" s="1"/>
  <c r="F20" i="3"/>
  <c r="I20" i="3" s="1"/>
  <c r="J20" i="3" s="1"/>
  <c r="F21" i="3"/>
  <c r="I21" i="3" s="1"/>
  <c r="J21" i="3" s="1"/>
  <c r="F22" i="3"/>
  <c r="I22" i="3" s="1"/>
  <c r="J22" i="3" s="1"/>
  <c r="F23" i="3"/>
  <c r="I23" i="3" s="1"/>
  <c r="F24" i="3"/>
  <c r="I24" i="3" s="1"/>
  <c r="F25" i="3"/>
  <c r="I25" i="3" s="1"/>
  <c r="J25" i="3" s="1"/>
  <c r="F26" i="3"/>
  <c r="I26" i="3" s="1"/>
  <c r="J26" i="3" s="1"/>
  <c r="F27" i="3"/>
  <c r="I27" i="3" s="1"/>
  <c r="J27" i="3" s="1"/>
  <c r="F28" i="3"/>
  <c r="I28" i="3" s="1"/>
  <c r="J28" i="3" s="1"/>
  <c r="F29" i="3"/>
  <c r="I29" i="3" s="1"/>
  <c r="J29" i="3" s="1"/>
  <c r="F30" i="3"/>
  <c r="I30" i="3" s="1"/>
  <c r="J30" i="3" s="1"/>
  <c r="F31" i="3"/>
  <c r="I31" i="3" s="1"/>
  <c r="J31" i="3" s="1"/>
  <c r="F32" i="3"/>
  <c r="I32" i="3" s="1"/>
  <c r="J32" i="3" s="1"/>
  <c r="F33" i="3"/>
  <c r="I33" i="3" s="1"/>
  <c r="J33" i="3" s="1"/>
  <c r="F34" i="3"/>
  <c r="I34" i="3" s="1"/>
  <c r="J34" i="3" s="1"/>
  <c r="F35" i="3"/>
  <c r="I35" i="3" s="1"/>
  <c r="J35" i="3" s="1"/>
  <c r="F36" i="3"/>
  <c r="I36" i="3" s="1"/>
  <c r="J36" i="3" s="1"/>
  <c r="F37" i="3"/>
  <c r="I37" i="3" s="1"/>
  <c r="F38" i="3"/>
  <c r="I38" i="3" s="1"/>
  <c r="F39" i="3"/>
  <c r="I39" i="3" s="1"/>
  <c r="F40" i="3"/>
  <c r="I40" i="3" s="1"/>
  <c r="F41" i="3"/>
  <c r="I41" i="3" s="1"/>
  <c r="F42" i="3"/>
  <c r="I42" i="3" s="1"/>
  <c r="J42" i="3" s="1"/>
  <c r="F43" i="3"/>
  <c r="I43" i="3" s="1"/>
  <c r="J43" i="3" s="1"/>
  <c r="F44" i="3"/>
  <c r="I44" i="3" s="1"/>
  <c r="J44" i="3" s="1"/>
  <c r="F45" i="3"/>
  <c r="I45" i="3" s="1"/>
  <c r="J45" i="3" s="1"/>
  <c r="F46" i="3"/>
  <c r="I46" i="3" s="1"/>
  <c r="J46" i="3" s="1"/>
  <c r="F47" i="3"/>
  <c r="I47" i="3" s="1"/>
  <c r="F48" i="3"/>
  <c r="I48" i="3" s="1"/>
  <c r="J48" i="3" s="1"/>
  <c r="F49" i="3"/>
  <c r="I49" i="3" s="1"/>
  <c r="J49" i="3" s="1"/>
  <c r="F50" i="3"/>
  <c r="I50" i="3" s="1"/>
  <c r="J50" i="3" s="1"/>
  <c r="F51" i="3"/>
  <c r="I51" i="3" s="1"/>
  <c r="J51" i="3" s="1"/>
  <c r="F52" i="3"/>
  <c r="I52" i="3" s="1"/>
  <c r="F53" i="3"/>
  <c r="I53" i="3" s="1"/>
  <c r="J53" i="3" s="1"/>
  <c r="F3" i="3"/>
  <c r="I3" i="3" s="1"/>
  <c r="F5" i="2"/>
  <c r="I5" i="2" s="1"/>
  <c r="F6" i="2"/>
  <c r="I6" i="2" s="1"/>
  <c r="J6" i="2" s="1"/>
  <c r="F7" i="2"/>
  <c r="I7" i="2" s="1"/>
  <c r="J7" i="2" s="1"/>
  <c r="F8" i="2"/>
  <c r="I8" i="2" s="1"/>
  <c r="J8" i="2" s="1"/>
  <c r="F9" i="2"/>
  <c r="I9" i="2" s="1"/>
  <c r="J9" i="2" s="1"/>
  <c r="F10" i="2"/>
  <c r="I10" i="2" s="1"/>
  <c r="J10" i="2" s="1"/>
  <c r="F11" i="2"/>
  <c r="I11" i="2" s="1"/>
  <c r="F12" i="2"/>
  <c r="I12" i="2" s="1"/>
  <c r="J12" i="2" s="1"/>
  <c r="F13" i="2"/>
  <c r="I13" i="2" s="1"/>
  <c r="J13" i="2" s="1"/>
  <c r="F14" i="2"/>
  <c r="I14" i="2" s="1"/>
  <c r="J14" i="2" s="1"/>
  <c r="F15" i="2"/>
  <c r="I15" i="2" s="1"/>
  <c r="J15" i="2" s="1"/>
  <c r="F16" i="2"/>
  <c r="I16" i="2" s="1"/>
  <c r="J16" i="2" s="1"/>
  <c r="F17" i="2"/>
  <c r="I17" i="2" s="1"/>
  <c r="J17" i="2" s="1"/>
  <c r="F18" i="2"/>
  <c r="I18" i="2" s="1"/>
  <c r="J18" i="2" s="1"/>
  <c r="F19" i="2"/>
  <c r="I19" i="2" s="1"/>
  <c r="J19" i="2" s="1"/>
  <c r="F20" i="2"/>
  <c r="I20" i="2" s="1"/>
  <c r="F21" i="2"/>
  <c r="I21" i="2" s="1"/>
  <c r="J21" i="2" s="1"/>
  <c r="F22" i="2"/>
  <c r="I22" i="2" s="1"/>
  <c r="J22" i="2" s="1"/>
  <c r="F23" i="2"/>
  <c r="I23" i="2" s="1"/>
  <c r="J23" i="2" s="1"/>
  <c r="F24" i="2"/>
  <c r="I24" i="2" s="1"/>
  <c r="F25" i="2"/>
  <c r="I25" i="2" s="1"/>
  <c r="J25" i="2" s="1"/>
  <c r="F26" i="2"/>
  <c r="I26" i="2" s="1"/>
  <c r="F27" i="2"/>
  <c r="I27" i="2" s="1"/>
  <c r="J27" i="2" s="1"/>
  <c r="F28" i="2"/>
  <c r="I28" i="2" s="1"/>
  <c r="J28" i="2" s="1"/>
  <c r="F29" i="2"/>
  <c r="I29" i="2" s="1"/>
  <c r="J29" i="2" s="1"/>
  <c r="F30" i="2"/>
  <c r="I30" i="2" s="1"/>
  <c r="F31" i="2"/>
  <c r="I31" i="2" s="1"/>
  <c r="J31" i="2" s="1"/>
  <c r="F32" i="2"/>
  <c r="I32" i="2" s="1"/>
  <c r="J32" i="2" s="1"/>
  <c r="F33" i="2"/>
  <c r="I33" i="2" s="1"/>
  <c r="J33" i="2" s="1"/>
  <c r="F34" i="2"/>
  <c r="I34" i="2" s="1"/>
  <c r="J34" i="2" s="1"/>
  <c r="F35" i="2"/>
  <c r="I35" i="2" s="1"/>
  <c r="J35" i="2" s="1"/>
  <c r="F36" i="2"/>
  <c r="I36" i="2" s="1"/>
  <c r="J36" i="2" s="1"/>
  <c r="F37" i="2"/>
  <c r="I37" i="2" s="1"/>
  <c r="J37" i="2" s="1"/>
  <c r="F38" i="2"/>
  <c r="I38" i="2" s="1"/>
  <c r="J38" i="2" s="1"/>
  <c r="F39" i="2"/>
  <c r="I39" i="2" s="1"/>
  <c r="J39" i="2" s="1"/>
  <c r="F40" i="2"/>
  <c r="I40" i="2" s="1"/>
  <c r="J40" i="2" s="1"/>
  <c r="F41" i="2"/>
  <c r="I41" i="2" s="1"/>
  <c r="J41" i="2" s="1"/>
  <c r="F42" i="2"/>
  <c r="I42" i="2" s="1"/>
  <c r="F43" i="2"/>
  <c r="I43" i="2" s="1"/>
  <c r="J43" i="2" s="1"/>
  <c r="F44" i="2"/>
  <c r="I44" i="2" s="1"/>
  <c r="J44" i="2" s="1"/>
  <c r="F45" i="2"/>
  <c r="I45" i="2" s="1"/>
  <c r="J45" i="2" s="1"/>
  <c r="F46" i="2"/>
  <c r="I46" i="2" s="1"/>
  <c r="J46" i="2" s="1"/>
  <c r="F47" i="2"/>
  <c r="I47" i="2" s="1"/>
  <c r="J47" i="2" s="1"/>
  <c r="F48" i="2"/>
  <c r="I48" i="2" s="1"/>
  <c r="J48" i="2" s="1"/>
  <c r="F49" i="2"/>
  <c r="I49" i="2" s="1"/>
  <c r="J49" i="2" s="1"/>
  <c r="F50" i="2"/>
  <c r="I50" i="2" s="1"/>
  <c r="F51" i="2"/>
  <c r="I51" i="2" s="1"/>
  <c r="J51" i="2" s="1"/>
  <c r="F52" i="2"/>
  <c r="I52" i="2" s="1"/>
  <c r="J52" i="2" s="1"/>
  <c r="F53" i="2"/>
  <c r="I53" i="2" s="1"/>
  <c r="J53" i="2" s="1"/>
  <c r="F54" i="2"/>
  <c r="I54" i="2" s="1"/>
  <c r="J54" i="2" s="1"/>
  <c r="F55" i="2"/>
  <c r="I55" i="2" s="1"/>
  <c r="J55" i="2" s="1"/>
  <c r="F56" i="2"/>
  <c r="I56" i="2" s="1"/>
  <c r="F57" i="2"/>
  <c r="I57" i="2" s="1"/>
  <c r="J57" i="2" s="1"/>
  <c r="F58" i="2"/>
  <c r="I58" i="2" s="1"/>
  <c r="J58" i="2" s="1"/>
  <c r="F59" i="2"/>
  <c r="I59" i="2" s="1"/>
  <c r="J59" i="2" s="1"/>
  <c r="F60" i="2"/>
  <c r="I60" i="2" s="1"/>
  <c r="J60" i="2" s="1"/>
  <c r="F61" i="2"/>
  <c r="I61" i="2" s="1"/>
  <c r="J61" i="2" s="1"/>
  <c r="F62" i="2"/>
  <c r="I62" i="2" s="1"/>
  <c r="J62" i="2" s="1"/>
  <c r="F63" i="2"/>
  <c r="I63" i="2" s="1"/>
  <c r="J63" i="2" s="1"/>
  <c r="F64" i="2"/>
  <c r="I64" i="2" s="1"/>
  <c r="J64" i="2" s="1"/>
  <c r="F65" i="2"/>
  <c r="I65" i="2" s="1"/>
  <c r="J65" i="2" s="1"/>
  <c r="F66" i="2"/>
  <c r="I66" i="2" s="1"/>
  <c r="J66" i="2" s="1"/>
  <c r="F67" i="2"/>
  <c r="I67" i="2" s="1"/>
  <c r="J67" i="2" s="1"/>
  <c r="F68" i="2"/>
  <c r="I68" i="2" s="1"/>
  <c r="J68" i="2" s="1"/>
  <c r="F69" i="2"/>
  <c r="I69" i="2" s="1"/>
  <c r="J69" i="2" s="1"/>
  <c r="F70" i="2"/>
  <c r="I70" i="2" s="1"/>
  <c r="J70" i="2" s="1"/>
  <c r="F71" i="2"/>
  <c r="I71" i="2" s="1"/>
  <c r="J71" i="2" s="1"/>
  <c r="F72" i="2"/>
  <c r="I72" i="2" s="1"/>
  <c r="J72" i="2" s="1"/>
  <c r="F73" i="2"/>
  <c r="I73" i="2" s="1"/>
  <c r="J73" i="2" s="1"/>
  <c r="F74" i="2"/>
  <c r="I74" i="2" s="1"/>
  <c r="J74" i="2" s="1"/>
  <c r="F75" i="2"/>
  <c r="I75" i="2" s="1"/>
  <c r="J75" i="2" s="1"/>
  <c r="F76" i="2"/>
  <c r="I76" i="2" s="1"/>
  <c r="F77" i="2"/>
  <c r="I77" i="2" s="1"/>
  <c r="J77" i="2" s="1"/>
  <c r="F78" i="2"/>
  <c r="I78" i="2" s="1"/>
  <c r="J78" i="2" s="1"/>
  <c r="F79" i="2"/>
  <c r="I79" i="2" s="1"/>
  <c r="J79" i="2" s="1"/>
  <c r="F80" i="2"/>
  <c r="I80" i="2" s="1"/>
  <c r="J80" i="2" s="1"/>
  <c r="F81" i="2"/>
  <c r="I81" i="2" s="1"/>
  <c r="J81" i="2" s="1"/>
  <c r="F82" i="2"/>
  <c r="I82" i="2" s="1"/>
  <c r="J82" i="2" s="1"/>
  <c r="F83" i="2"/>
  <c r="I83" i="2" s="1"/>
  <c r="J83" i="2" s="1"/>
  <c r="F84" i="2"/>
  <c r="I84" i="2" s="1"/>
  <c r="F85" i="2"/>
  <c r="I85" i="2" s="1"/>
  <c r="J85" i="2" s="1"/>
  <c r="F86" i="2"/>
  <c r="I86" i="2" s="1"/>
  <c r="J86" i="2" s="1"/>
  <c r="F87" i="2"/>
  <c r="I87" i="2" s="1"/>
  <c r="F88" i="2"/>
  <c r="I88" i="2" s="1"/>
  <c r="J88" i="2" s="1"/>
  <c r="F89" i="2"/>
  <c r="I89" i="2" s="1"/>
  <c r="J89" i="2" s="1"/>
  <c r="F90" i="2"/>
  <c r="I90" i="2" s="1"/>
  <c r="J90" i="2" s="1"/>
  <c r="F91" i="2"/>
  <c r="I91" i="2" s="1"/>
  <c r="F92" i="2"/>
  <c r="I92" i="2" s="1"/>
  <c r="J92" i="2" s="1"/>
  <c r="F93" i="2"/>
  <c r="I93" i="2" s="1"/>
  <c r="J93" i="2" s="1"/>
  <c r="F94" i="2"/>
  <c r="I94" i="2" s="1"/>
  <c r="J94" i="2" s="1"/>
  <c r="F95" i="2"/>
  <c r="I95" i="2" s="1"/>
  <c r="J95" i="2" s="1"/>
  <c r="F96" i="2"/>
  <c r="I96" i="2" s="1"/>
  <c r="J96" i="2" s="1"/>
  <c r="F4" i="2"/>
  <c r="I4" i="2" s="1"/>
  <c r="J4" i="2" s="1"/>
  <c r="F4" i="1"/>
  <c r="I4" i="1" s="1"/>
  <c r="J4" i="1" s="1"/>
  <c r="F5" i="1"/>
  <c r="I5" i="1" s="1"/>
  <c r="J5" i="1" s="1"/>
  <c r="F6" i="1"/>
  <c r="I6" i="1" s="1"/>
  <c r="J6" i="1" s="1"/>
  <c r="F7" i="1"/>
  <c r="I7" i="1" s="1"/>
  <c r="J7" i="1" s="1"/>
  <c r="F8" i="1"/>
  <c r="I8" i="1" s="1"/>
  <c r="J8" i="1" s="1"/>
  <c r="F9" i="1"/>
  <c r="I9" i="1" s="1"/>
  <c r="J9" i="1" s="1"/>
  <c r="F10" i="1"/>
  <c r="I10" i="1" s="1"/>
  <c r="J10" i="1" s="1"/>
  <c r="F11" i="1"/>
  <c r="I11" i="1" s="1"/>
  <c r="J11" i="1" s="1"/>
  <c r="F12" i="1"/>
  <c r="I12" i="1" s="1"/>
  <c r="J12" i="1" s="1"/>
  <c r="F13" i="1"/>
  <c r="I13" i="1" s="1"/>
  <c r="J13" i="1" s="1"/>
  <c r="F14" i="1"/>
  <c r="I14" i="1" s="1"/>
  <c r="J14" i="1" s="1"/>
  <c r="F15" i="1"/>
  <c r="I15" i="1" s="1"/>
  <c r="J15" i="1" s="1"/>
  <c r="F16" i="1"/>
  <c r="I16" i="1" s="1"/>
  <c r="J16" i="1" s="1"/>
  <c r="F17" i="1"/>
  <c r="I17" i="1" s="1"/>
  <c r="J17" i="1" s="1"/>
  <c r="F18" i="1"/>
  <c r="I18" i="1" s="1"/>
  <c r="J18" i="1" s="1"/>
  <c r="F19" i="1"/>
  <c r="I19" i="1" s="1"/>
  <c r="J19" i="1" s="1"/>
  <c r="F20" i="1"/>
  <c r="I20" i="1" s="1"/>
  <c r="J20" i="1" s="1"/>
  <c r="F21" i="1"/>
  <c r="I21" i="1" s="1"/>
  <c r="J21" i="1" s="1"/>
  <c r="F22" i="1"/>
  <c r="I22" i="1" s="1"/>
  <c r="J22" i="1" s="1"/>
  <c r="F23" i="1"/>
  <c r="I23" i="1" s="1"/>
  <c r="F24" i="1"/>
  <c r="I24" i="1" s="1"/>
  <c r="J24" i="1" s="1"/>
  <c r="F25" i="1"/>
  <c r="I25" i="1" s="1"/>
  <c r="J25" i="1" s="1"/>
  <c r="F26" i="1"/>
  <c r="I26" i="1" s="1"/>
  <c r="J26" i="1" s="1"/>
  <c r="F27" i="1"/>
  <c r="I27" i="1" s="1"/>
  <c r="J27" i="1" s="1"/>
  <c r="F28" i="1"/>
  <c r="I28" i="1" s="1"/>
  <c r="J28" i="1" s="1"/>
  <c r="F29" i="1"/>
  <c r="I29" i="1" s="1"/>
  <c r="J29" i="1" s="1"/>
  <c r="F30" i="1"/>
  <c r="I30" i="1" s="1"/>
  <c r="J30" i="1" s="1"/>
  <c r="F31" i="1"/>
  <c r="I31" i="1" s="1"/>
  <c r="F32" i="1"/>
  <c r="I32" i="1" s="1"/>
  <c r="J32" i="1" s="1"/>
  <c r="F33" i="1"/>
  <c r="I33" i="1" s="1"/>
  <c r="J33" i="1" s="1"/>
  <c r="F34" i="1"/>
  <c r="I34" i="1" s="1"/>
  <c r="J34" i="1" s="1"/>
  <c r="F35" i="1"/>
  <c r="I35" i="1" s="1"/>
  <c r="J35" i="1" s="1"/>
  <c r="F36" i="1"/>
  <c r="I36" i="1" s="1"/>
  <c r="J36" i="1" s="1"/>
  <c r="F37" i="1"/>
  <c r="I37" i="1" s="1"/>
  <c r="J37" i="1" s="1"/>
  <c r="F38" i="1"/>
  <c r="I38" i="1" s="1"/>
  <c r="J38" i="1" s="1"/>
  <c r="F39" i="1"/>
  <c r="I39" i="1" s="1"/>
  <c r="J39" i="1" s="1"/>
  <c r="F40" i="1"/>
  <c r="I40" i="1" s="1"/>
  <c r="J40" i="1" s="1"/>
  <c r="F41" i="1"/>
  <c r="I41" i="1" s="1"/>
  <c r="J41" i="1" s="1"/>
  <c r="F42" i="1"/>
  <c r="I42" i="1" s="1"/>
  <c r="J42" i="1" s="1"/>
  <c r="F43" i="1"/>
  <c r="I43" i="1" s="1"/>
  <c r="J43" i="1" s="1"/>
  <c r="F44" i="1"/>
  <c r="I44" i="1" s="1"/>
  <c r="J44" i="1" s="1"/>
  <c r="F45" i="1"/>
  <c r="I45" i="1" s="1"/>
  <c r="J45" i="1" s="1"/>
  <c r="F46" i="1"/>
  <c r="I46" i="1" s="1"/>
  <c r="J46" i="1" s="1"/>
  <c r="F47" i="1"/>
  <c r="I47" i="1" s="1"/>
  <c r="J47" i="1" s="1"/>
  <c r="F48" i="1"/>
  <c r="I48" i="1" s="1"/>
  <c r="J48" i="1" s="1"/>
  <c r="F49" i="1"/>
  <c r="I49" i="1" s="1"/>
  <c r="J49" i="1" s="1"/>
  <c r="F50" i="1"/>
  <c r="I50" i="1" s="1"/>
  <c r="J50" i="1" s="1"/>
  <c r="F51" i="1"/>
  <c r="I51" i="1" s="1"/>
  <c r="J51" i="1" s="1"/>
  <c r="F52" i="1"/>
  <c r="I52" i="1" s="1"/>
  <c r="J52" i="1" s="1"/>
  <c r="F53" i="1"/>
  <c r="I53" i="1" s="1"/>
  <c r="J53" i="1" s="1"/>
  <c r="F54" i="1"/>
  <c r="I54" i="1" s="1"/>
  <c r="J54" i="1" s="1"/>
  <c r="F55" i="1"/>
  <c r="I55" i="1" s="1"/>
  <c r="F56" i="1"/>
  <c r="I56" i="1" s="1"/>
  <c r="J56" i="1" s="1"/>
  <c r="F57" i="1"/>
  <c r="I57" i="1" s="1"/>
  <c r="J57" i="1" s="1"/>
  <c r="F58" i="1"/>
  <c r="I58" i="1" s="1"/>
  <c r="J58" i="1" s="1"/>
  <c r="F59" i="1"/>
  <c r="I59" i="1" s="1"/>
  <c r="J59" i="1" s="1"/>
  <c r="F60" i="1"/>
  <c r="I60" i="1" s="1"/>
  <c r="J60" i="1" s="1"/>
  <c r="F61" i="1"/>
  <c r="I61" i="1" s="1"/>
  <c r="J61" i="1" s="1"/>
  <c r="F62" i="1"/>
  <c r="I62" i="1" s="1"/>
  <c r="J62" i="1" s="1"/>
  <c r="F63" i="1"/>
  <c r="I63" i="1" s="1"/>
  <c r="F64" i="1"/>
  <c r="I64" i="1" s="1"/>
  <c r="J64" i="1" s="1"/>
  <c r="F65" i="1"/>
  <c r="I65" i="1" s="1"/>
  <c r="F66" i="1"/>
  <c r="I66" i="1" s="1"/>
  <c r="J66" i="1" s="1"/>
  <c r="F67" i="1"/>
  <c r="I67" i="1" s="1"/>
  <c r="J67" i="1" s="1"/>
  <c r="F68" i="1"/>
  <c r="I68" i="1" s="1"/>
  <c r="J68" i="1" s="1"/>
  <c r="F69" i="1"/>
  <c r="I69" i="1" s="1"/>
  <c r="F70" i="1"/>
  <c r="I70" i="1" s="1"/>
  <c r="J70" i="1" s="1"/>
  <c r="F71" i="1"/>
  <c r="I71" i="1" s="1"/>
  <c r="J71" i="1" s="1"/>
  <c r="F72" i="1"/>
  <c r="I72" i="1" s="1"/>
  <c r="J72" i="1" s="1"/>
  <c r="F73" i="1"/>
  <c r="I73" i="1" s="1"/>
  <c r="J73" i="1" s="1"/>
  <c r="F74" i="1"/>
  <c r="I74" i="1" s="1"/>
  <c r="J74" i="1" s="1"/>
  <c r="F75" i="1"/>
  <c r="I75" i="1" s="1"/>
  <c r="J75" i="1" s="1"/>
  <c r="F76" i="1"/>
  <c r="I76" i="1" s="1"/>
  <c r="J76" i="1" s="1"/>
  <c r="F77" i="1"/>
  <c r="I77" i="1" s="1"/>
  <c r="J77" i="1" s="1"/>
  <c r="F78" i="1"/>
  <c r="I78" i="1" s="1"/>
  <c r="J78" i="1" s="1"/>
  <c r="F79" i="1"/>
  <c r="I79" i="1" s="1"/>
  <c r="J79" i="1" s="1"/>
  <c r="F80" i="1"/>
  <c r="I80" i="1" s="1"/>
  <c r="J80" i="1" s="1"/>
  <c r="F81" i="1"/>
  <c r="I81" i="1" s="1"/>
  <c r="J81" i="1" s="1"/>
  <c r="F82" i="1"/>
  <c r="I82" i="1" s="1"/>
  <c r="J82" i="1" s="1"/>
  <c r="F83" i="1"/>
  <c r="I83" i="1" s="1"/>
  <c r="J83" i="1" s="1"/>
  <c r="F84" i="1"/>
  <c r="I84" i="1" s="1"/>
  <c r="J84" i="1" s="1"/>
  <c r="F85" i="1"/>
  <c r="I85" i="1" s="1"/>
  <c r="J85" i="1" s="1"/>
  <c r="F86" i="1"/>
  <c r="I86" i="1" s="1"/>
  <c r="J86" i="1" s="1"/>
  <c r="F87" i="1"/>
  <c r="I87" i="1" s="1"/>
  <c r="F88" i="1"/>
  <c r="I88" i="1" s="1"/>
  <c r="J88" i="1" s="1"/>
  <c r="F89" i="1"/>
  <c r="I89" i="1" s="1"/>
  <c r="J89" i="1" s="1"/>
  <c r="F90" i="1"/>
  <c r="I90" i="1" s="1"/>
  <c r="J90" i="1" s="1"/>
  <c r="F91" i="1"/>
  <c r="I91" i="1" s="1"/>
  <c r="J91" i="1" s="1"/>
  <c r="F92" i="1"/>
  <c r="I92" i="1" s="1"/>
  <c r="J92" i="1" s="1"/>
  <c r="F93" i="1"/>
  <c r="I93" i="1" s="1"/>
  <c r="J93" i="1" s="1"/>
  <c r="F3" i="1"/>
  <c r="I3" i="1" s="1"/>
  <c r="J3" i="1" s="1"/>
</calcChain>
</file>

<file path=xl/sharedStrings.xml><?xml version="1.0" encoding="utf-8"?>
<sst xmlns="http://schemas.openxmlformats.org/spreadsheetml/2006/main" count="256" uniqueCount="10">
  <si>
    <t>SL .NO</t>
  </si>
  <si>
    <t>Code</t>
  </si>
  <si>
    <t>Items</t>
  </si>
  <si>
    <t>Qty</t>
  </si>
  <si>
    <t>Mrp</t>
  </si>
  <si>
    <t>DYBL MTRL</t>
  </si>
  <si>
    <t>NEW MRP EXCLUDING GST</t>
  </si>
  <si>
    <t xml:space="preserve">TAXABLE </t>
  </si>
  <si>
    <t>TAX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</si>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</sst>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93"/>
  <sheetViews>
    <sheetView tabSelected="1" topLeftCell="A79" workbookViewId="0">
      <selection activeCell="C93" sqref="C3:C93"/>
    </sheetView>
  </sheetViews>
  <sheetFormatPr defaultRowHeight="14.4" x14ac:dyDescent="0.3"/>
  <cols>
    <col min="3" max="3" width="15.6640625" customWidth="1"/>
    <col min="6" max="6" width="27.109375" customWidth="1"/>
  </cols>
  <sheetData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6</v>
      </c>
    </row>
    <row r="3" spans="1:10" x14ac:dyDescent="0.3">
      <c r="A3">
        <v>1</v>
      </c>
      <c r="B3">
        <v>5218</v>
      </c>
      <c r="C3" t="s">
        <v>5</v>
      </c>
      <c r="D3">
        <v>50.5</v>
      </c>
      <c r="E3">
        <v>375</v>
      </c>
      <c r="F3">
        <f>ROUND(IF(E3&gt;2500, E3/1.18, E3/1.05),2)</f>
        <v>357.14</v>
      </c>
      <c r="H3">
        <f>ROUND(IF(E3&gt;2500, E3/1.18, E3/1.05),2)</f>
        <v>357.14</v>
      </c>
      <c r="I3">
        <f>E3-F3</f>
        <v>17.860000000000014</v>
      </c>
      <c r="J3">
        <f>SUM(H3:I3)</f>
        <v>375</v>
      </c>
    </row>
    <row r="4" spans="1:10" x14ac:dyDescent="0.3">
      <c r="B4">
        <v>5217</v>
      </c>
      <c r="C4" t="s">
        <v>5</v>
      </c>
      <c r="D4">
        <v>30.5</v>
      </c>
      <c r="E4">
        <v>215</v>
      </c>
      <c r="F4">
        <f t="shared" ref="F4:F67" si="0">ROUND(IF(E4&gt;2500, E4/1.18, E4/1.05),2)</f>
        <v>204.76</v>
      </c>
      <c r="H4">
        <f t="shared" ref="H4:H67" si="1">ROUND(IF(E4&gt;2500, E4/1.18, E4/1.05),2)</f>
        <v>204.76</v>
      </c>
      <c r="I4">
        <f t="shared" ref="I4:I67" si="2">E4-F4</f>
        <v>10.240000000000009</v>
      </c>
      <c r="J4">
        <f t="shared" ref="J4:J67" si="3">SUM(H4:I4)</f>
        <v>215</v>
      </c>
    </row>
    <row r="5" spans="1:10" x14ac:dyDescent="0.3">
      <c r="B5">
        <v>5217</v>
      </c>
      <c r="C5" t="s">
        <v>5</v>
      </c>
      <c r="D5">
        <v>34</v>
      </c>
      <c r="E5">
        <v>215</v>
      </c>
      <c r="F5">
        <f t="shared" si="0"/>
        <v>204.76</v>
      </c>
      <c r="H5">
        <f t="shared" si="1"/>
        <v>204.76</v>
      </c>
      <c r="I5">
        <f t="shared" si="2"/>
        <v>10.240000000000009</v>
      </c>
      <c r="J5">
        <f t="shared" si="3"/>
        <v>215</v>
      </c>
    </row>
    <row r="6" spans="1:10" x14ac:dyDescent="0.3">
      <c r="B6">
        <v>2804</v>
      </c>
      <c r="C6" t="s">
        <v>5</v>
      </c>
      <c r="D6">
        <v>30</v>
      </c>
      <c r="E6">
        <v>265</v>
      </c>
      <c r="F6">
        <f t="shared" si="0"/>
        <v>252.38</v>
      </c>
      <c r="H6">
        <f t="shared" si="1"/>
        <v>252.38</v>
      </c>
      <c r="I6">
        <f t="shared" si="2"/>
        <v>12.620000000000005</v>
      </c>
      <c r="J6">
        <f t="shared" si="3"/>
        <v>265</v>
      </c>
    </row>
    <row r="7" spans="1:10" x14ac:dyDescent="0.3">
      <c r="B7">
        <v>2810</v>
      </c>
      <c r="C7" t="s">
        <v>5</v>
      </c>
      <c r="D7">
        <v>49.8</v>
      </c>
      <c r="E7">
        <v>350</v>
      </c>
      <c r="F7">
        <f t="shared" si="0"/>
        <v>333.33</v>
      </c>
      <c r="H7">
        <f t="shared" si="1"/>
        <v>333.33</v>
      </c>
      <c r="I7">
        <f t="shared" si="2"/>
        <v>16.670000000000016</v>
      </c>
      <c r="J7">
        <f t="shared" si="3"/>
        <v>350</v>
      </c>
    </row>
    <row r="8" spans="1:10" x14ac:dyDescent="0.3">
      <c r="B8">
        <v>5218</v>
      </c>
      <c r="C8" t="s">
        <v>5</v>
      </c>
      <c r="D8">
        <v>41.4</v>
      </c>
      <c r="E8">
        <v>375</v>
      </c>
      <c r="F8">
        <f t="shared" si="0"/>
        <v>357.14</v>
      </c>
      <c r="H8">
        <f t="shared" si="1"/>
        <v>357.14</v>
      </c>
      <c r="I8">
        <f t="shared" si="2"/>
        <v>17.860000000000014</v>
      </c>
      <c r="J8">
        <f t="shared" si="3"/>
        <v>375</v>
      </c>
    </row>
    <row r="9" spans="1:10" x14ac:dyDescent="0.3">
      <c r="B9">
        <v>5219</v>
      </c>
      <c r="C9" t="s">
        <v>5</v>
      </c>
      <c r="D9">
        <v>40.4</v>
      </c>
      <c r="E9">
        <v>375</v>
      </c>
      <c r="F9">
        <f t="shared" si="0"/>
        <v>357.14</v>
      </c>
      <c r="H9">
        <f t="shared" si="1"/>
        <v>357.14</v>
      </c>
      <c r="I9">
        <f t="shared" si="2"/>
        <v>17.860000000000014</v>
      </c>
      <c r="J9">
        <f t="shared" si="3"/>
        <v>375</v>
      </c>
    </row>
    <row r="10" spans="1:10" x14ac:dyDescent="0.3">
      <c r="B10">
        <v>5217</v>
      </c>
      <c r="C10" t="s">
        <v>5</v>
      </c>
      <c r="D10">
        <v>15.3</v>
      </c>
      <c r="E10">
        <v>215</v>
      </c>
      <c r="F10">
        <f t="shared" si="0"/>
        <v>204.76</v>
      </c>
      <c r="H10">
        <f t="shared" si="1"/>
        <v>204.76</v>
      </c>
      <c r="I10">
        <f t="shared" si="2"/>
        <v>10.240000000000009</v>
      </c>
      <c r="J10">
        <f t="shared" si="3"/>
        <v>215</v>
      </c>
    </row>
    <row r="11" spans="1:10" x14ac:dyDescent="0.3">
      <c r="B11">
        <v>2801</v>
      </c>
      <c r="C11" t="s">
        <v>5</v>
      </c>
      <c r="D11">
        <v>22.35</v>
      </c>
      <c r="E11">
        <v>595</v>
      </c>
      <c r="F11">
        <f t="shared" si="0"/>
        <v>566.66999999999996</v>
      </c>
      <c r="H11">
        <f t="shared" si="1"/>
        <v>566.66999999999996</v>
      </c>
      <c r="I11">
        <f t="shared" si="2"/>
        <v>28.330000000000041</v>
      </c>
      <c r="J11">
        <f t="shared" si="3"/>
        <v>595</v>
      </c>
    </row>
    <row r="12" spans="1:10" x14ac:dyDescent="0.3">
      <c r="B12">
        <v>2803</v>
      </c>
      <c r="C12" t="s">
        <v>5</v>
      </c>
      <c r="D12">
        <v>38.700000000000003</v>
      </c>
      <c r="E12">
        <v>255</v>
      </c>
      <c r="F12">
        <f t="shared" si="0"/>
        <v>242.86</v>
      </c>
      <c r="H12">
        <f t="shared" si="1"/>
        <v>242.86</v>
      </c>
      <c r="I12">
        <f t="shared" si="2"/>
        <v>12.139999999999986</v>
      </c>
      <c r="J12">
        <f t="shared" si="3"/>
        <v>255</v>
      </c>
    </row>
    <row r="13" spans="1:10" x14ac:dyDescent="0.3">
      <c r="B13">
        <v>5218</v>
      </c>
      <c r="C13" t="s">
        <v>5</v>
      </c>
      <c r="D13">
        <v>32</v>
      </c>
      <c r="E13">
        <v>375</v>
      </c>
      <c r="F13">
        <f t="shared" si="0"/>
        <v>357.14</v>
      </c>
      <c r="H13">
        <f t="shared" si="1"/>
        <v>357.14</v>
      </c>
      <c r="I13">
        <f t="shared" si="2"/>
        <v>17.860000000000014</v>
      </c>
      <c r="J13">
        <f t="shared" si="3"/>
        <v>375</v>
      </c>
    </row>
    <row r="14" spans="1:10" x14ac:dyDescent="0.3">
      <c r="B14">
        <v>5217</v>
      </c>
      <c r="C14" t="s">
        <v>5</v>
      </c>
      <c r="D14">
        <v>37.5</v>
      </c>
      <c r="E14">
        <v>215</v>
      </c>
      <c r="F14">
        <f t="shared" si="0"/>
        <v>204.76</v>
      </c>
      <c r="H14">
        <f t="shared" si="1"/>
        <v>204.76</v>
      </c>
      <c r="I14">
        <f t="shared" si="2"/>
        <v>10.240000000000009</v>
      </c>
      <c r="J14">
        <f t="shared" si="3"/>
        <v>215</v>
      </c>
    </row>
    <row r="15" spans="1:10" x14ac:dyDescent="0.3">
      <c r="B15">
        <v>5038</v>
      </c>
      <c r="C15" t="s">
        <v>5</v>
      </c>
      <c r="D15">
        <v>50</v>
      </c>
      <c r="E15">
        <v>350</v>
      </c>
      <c r="F15">
        <f t="shared" si="0"/>
        <v>333.33</v>
      </c>
      <c r="H15">
        <f t="shared" si="1"/>
        <v>333.33</v>
      </c>
      <c r="I15">
        <f t="shared" si="2"/>
        <v>16.670000000000016</v>
      </c>
      <c r="J15">
        <f t="shared" si="3"/>
        <v>350</v>
      </c>
    </row>
    <row r="16" spans="1:10" x14ac:dyDescent="0.3">
      <c r="B16">
        <v>2803</v>
      </c>
      <c r="C16" t="s">
        <v>5</v>
      </c>
      <c r="D16">
        <v>48.1</v>
      </c>
      <c r="E16">
        <v>255</v>
      </c>
      <c r="F16">
        <f t="shared" si="0"/>
        <v>242.86</v>
      </c>
      <c r="H16">
        <f t="shared" si="1"/>
        <v>242.86</v>
      </c>
      <c r="I16">
        <f t="shared" si="2"/>
        <v>12.139999999999986</v>
      </c>
      <c r="J16">
        <f t="shared" si="3"/>
        <v>255</v>
      </c>
    </row>
    <row r="17" spans="2:10" x14ac:dyDescent="0.3">
      <c r="B17">
        <v>5063</v>
      </c>
      <c r="C17" t="s">
        <v>5</v>
      </c>
      <c r="D17">
        <v>34.9</v>
      </c>
      <c r="E17">
        <v>255</v>
      </c>
      <c r="F17">
        <f t="shared" si="0"/>
        <v>242.86</v>
      </c>
      <c r="H17">
        <f t="shared" si="1"/>
        <v>242.86</v>
      </c>
      <c r="I17">
        <f t="shared" si="2"/>
        <v>12.139999999999986</v>
      </c>
      <c r="J17">
        <f t="shared" si="3"/>
        <v>255</v>
      </c>
    </row>
    <row r="18" spans="2:10" x14ac:dyDescent="0.3">
      <c r="B18">
        <v>2807</v>
      </c>
      <c r="C18" t="s">
        <v>5</v>
      </c>
      <c r="D18">
        <v>27.9</v>
      </c>
      <c r="E18">
        <v>290</v>
      </c>
      <c r="F18">
        <f t="shared" si="0"/>
        <v>276.19</v>
      </c>
      <c r="H18">
        <f t="shared" si="1"/>
        <v>276.19</v>
      </c>
      <c r="I18">
        <f t="shared" si="2"/>
        <v>13.810000000000002</v>
      </c>
      <c r="J18">
        <f t="shared" si="3"/>
        <v>290</v>
      </c>
    </row>
    <row r="19" spans="2:10" x14ac:dyDescent="0.3">
      <c r="B19">
        <v>5063</v>
      </c>
      <c r="C19" t="s">
        <v>5</v>
      </c>
      <c r="D19">
        <v>46.8</v>
      </c>
      <c r="E19">
        <v>255</v>
      </c>
      <c r="F19">
        <f t="shared" si="0"/>
        <v>242.86</v>
      </c>
      <c r="H19">
        <f t="shared" si="1"/>
        <v>242.86</v>
      </c>
      <c r="I19">
        <f t="shared" si="2"/>
        <v>12.139999999999986</v>
      </c>
      <c r="J19">
        <f t="shared" si="3"/>
        <v>255</v>
      </c>
    </row>
    <row r="20" spans="2:10" x14ac:dyDescent="0.3">
      <c r="B20">
        <v>2803</v>
      </c>
      <c r="C20" t="s">
        <v>5</v>
      </c>
      <c r="D20">
        <v>42.85</v>
      </c>
      <c r="E20">
        <v>255</v>
      </c>
      <c r="F20">
        <f t="shared" si="0"/>
        <v>242.86</v>
      </c>
      <c r="H20">
        <f t="shared" si="1"/>
        <v>242.86</v>
      </c>
      <c r="I20">
        <f t="shared" si="2"/>
        <v>12.139999999999986</v>
      </c>
      <c r="J20">
        <f t="shared" si="3"/>
        <v>255</v>
      </c>
    </row>
    <row r="21" spans="2:10" x14ac:dyDescent="0.3">
      <c r="B21">
        <v>5218</v>
      </c>
      <c r="C21" t="s">
        <v>5</v>
      </c>
      <c r="D21">
        <v>52</v>
      </c>
      <c r="E21">
        <v>375</v>
      </c>
      <c r="F21">
        <f t="shared" si="0"/>
        <v>357.14</v>
      </c>
      <c r="H21">
        <f t="shared" si="1"/>
        <v>357.14</v>
      </c>
      <c r="I21">
        <f t="shared" si="2"/>
        <v>17.860000000000014</v>
      </c>
      <c r="J21">
        <f t="shared" si="3"/>
        <v>375</v>
      </c>
    </row>
    <row r="22" spans="2:10" x14ac:dyDescent="0.3">
      <c r="B22">
        <v>5219</v>
      </c>
      <c r="C22" t="s">
        <v>5</v>
      </c>
      <c r="D22">
        <v>42</v>
      </c>
      <c r="E22">
        <v>375</v>
      </c>
      <c r="F22">
        <f t="shared" si="0"/>
        <v>357.14</v>
      </c>
      <c r="H22">
        <f t="shared" si="1"/>
        <v>357.14</v>
      </c>
      <c r="I22">
        <f t="shared" si="2"/>
        <v>17.860000000000014</v>
      </c>
      <c r="J22">
        <f t="shared" si="3"/>
        <v>375</v>
      </c>
    </row>
    <row r="23" spans="2:10" x14ac:dyDescent="0.3">
      <c r="B23">
        <v>5219</v>
      </c>
      <c r="C23" t="s">
        <v>5</v>
      </c>
      <c r="D23">
        <v>41.5</v>
      </c>
      <c r="E23">
        <v>375</v>
      </c>
      <c r="F23">
        <f t="shared" si="0"/>
        <v>357.14</v>
      </c>
      <c r="H23">
        <f t="shared" si="1"/>
        <v>357.14</v>
      </c>
      <c r="I23">
        <f t="shared" si="2"/>
        <v>17.860000000000014</v>
      </c>
      <c r="J23">
        <f t="shared" si="3"/>
        <v>375</v>
      </c>
    </row>
    <row r="24" spans="2:10" x14ac:dyDescent="0.3">
      <c r="B24">
        <v>2803</v>
      </c>
      <c r="C24" t="s">
        <v>5</v>
      </c>
      <c r="D24">
        <v>42</v>
      </c>
      <c r="E24">
        <v>255</v>
      </c>
      <c r="F24">
        <f t="shared" si="0"/>
        <v>242.86</v>
      </c>
      <c r="H24">
        <f t="shared" si="1"/>
        <v>242.86</v>
      </c>
      <c r="I24">
        <f t="shared" si="2"/>
        <v>12.139999999999986</v>
      </c>
      <c r="J24">
        <f t="shared" si="3"/>
        <v>255</v>
      </c>
    </row>
    <row r="25" spans="2:10" x14ac:dyDescent="0.3">
      <c r="B25">
        <v>5219</v>
      </c>
      <c r="C25" t="s">
        <v>5</v>
      </c>
      <c r="D25">
        <v>41.75</v>
      </c>
      <c r="E25">
        <v>375</v>
      </c>
      <c r="F25">
        <f t="shared" si="0"/>
        <v>357.14</v>
      </c>
      <c r="H25">
        <f t="shared" si="1"/>
        <v>357.14</v>
      </c>
      <c r="I25">
        <f t="shared" si="2"/>
        <v>17.860000000000014</v>
      </c>
      <c r="J25">
        <f t="shared" si="3"/>
        <v>375</v>
      </c>
    </row>
    <row r="26" spans="2:10" x14ac:dyDescent="0.3">
      <c r="B26">
        <v>5218</v>
      </c>
      <c r="C26" t="s">
        <v>5</v>
      </c>
      <c r="D26">
        <v>40</v>
      </c>
      <c r="E26">
        <v>375</v>
      </c>
      <c r="F26">
        <f t="shared" si="0"/>
        <v>357.14</v>
      </c>
      <c r="H26">
        <f t="shared" si="1"/>
        <v>357.14</v>
      </c>
      <c r="I26">
        <f t="shared" si="2"/>
        <v>17.860000000000014</v>
      </c>
      <c r="J26">
        <f t="shared" si="3"/>
        <v>375</v>
      </c>
    </row>
    <row r="27" spans="2:10" x14ac:dyDescent="0.3">
      <c r="B27">
        <v>2799</v>
      </c>
      <c r="C27" t="s">
        <v>5</v>
      </c>
      <c r="D27">
        <v>29.5</v>
      </c>
      <c r="E27">
        <v>470</v>
      </c>
      <c r="F27">
        <f t="shared" si="0"/>
        <v>447.62</v>
      </c>
      <c r="H27">
        <f t="shared" si="1"/>
        <v>447.62</v>
      </c>
      <c r="I27">
        <f t="shared" si="2"/>
        <v>22.379999999999995</v>
      </c>
      <c r="J27">
        <f t="shared" si="3"/>
        <v>470</v>
      </c>
    </row>
    <row r="28" spans="2:10" x14ac:dyDescent="0.3">
      <c r="B28">
        <v>5217</v>
      </c>
      <c r="C28" t="s">
        <v>5</v>
      </c>
      <c r="D28">
        <v>37</v>
      </c>
      <c r="E28">
        <v>215</v>
      </c>
      <c r="F28">
        <f t="shared" si="0"/>
        <v>204.76</v>
      </c>
      <c r="H28">
        <f t="shared" si="1"/>
        <v>204.76</v>
      </c>
      <c r="I28">
        <f t="shared" si="2"/>
        <v>10.240000000000009</v>
      </c>
      <c r="J28">
        <f t="shared" si="3"/>
        <v>215</v>
      </c>
    </row>
    <row r="29" spans="2:10" x14ac:dyDescent="0.3">
      <c r="B29">
        <v>5218</v>
      </c>
      <c r="C29" t="s">
        <v>5</v>
      </c>
      <c r="D29">
        <v>35.5</v>
      </c>
      <c r="E29">
        <v>375</v>
      </c>
      <c r="F29">
        <f t="shared" si="0"/>
        <v>357.14</v>
      </c>
      <c r="H29">
        <f t="shared" si="1"/>
        <v>357.14</v>
      </c>
      <c r="I29">
        <f t="shared" si="2"/>
        <v>17.860000000000014</v>
      </c>
      <c r="J29">
        <f t="shared" si="3"/>
        <v>375</v>
      </c>
    </row>
    <row r="30" spans="2:10" x14ac:dyDescent="0.3">
      <c r="B30">
        <v>5219</v>
      </c>
      <c r="C30" t="s">
        <v>5</v>
      </c>
      <c r="D30">
        <v>34.549999999999997</v>
      </c>
      <c r="E30">
        <v>375</v>
      </c>
      <c r="F30">
        <f t="shared" si="0"/>
        <v>357.14</v>
      </c>
      <c r="H30">
        <f t="shared" si="1"/>
        <v>357.14</v>
      </c>
      <c r="I30">
        <f t="shared" si="2"/>
        <v>17.860000000000014</v>
      </c>
      <c r="J30">
        <f t="shared" si="3"/>
        <v>375</v>
      </c>
    </row>
    <row r="31" spans="2:10" x14ac:dyDescent="0.3">
      <c r="B31">
        <v>2799</v>
      </c>
      <c r="C31" t="s">
        <v>5</v>
      </c>
      <c r="D31">
        <v>38.799999999999997</v>
      </c>
      <c r="E31">
        <v>470</v>
      </c>
      <c r="F31">
        <f t="shared" si="0"/>
        <v>447.62</v>
      </c>
      <c r="H31">
        <f t="shared" si="1"/>
        <v>447.62</v>
      </c>
      <c r="I31">
        <f t="shared" si="2"/>
        <v>22.379999999999995</v>
      </c>
      <c r="J31">
        <f t="shared" si="3"/>
        <v>470</v>
      </c>
    </row>
    <row r="32" spans="2:10" x14ac:dyDescent="0.3">
      <c r="B32">
        <v>5035</v>
      </c>
      <c r="C32" t="s">
        <v>5</v>
      </c>
      <c r="D32">
        <v>73</v>
      </c>
      <c r="E32">
        <v>350</v>
      </c>
      <c r="F32">
        <f t="shared" si="0"/>
        <v>333.33</v>
      </c>
      <c r="H32">
        <f t="shared" si="1"/>
        <v>333.33</v>
      </c>
      <c r="I32">
        <f t="shared" si="2"/>
        <v>16.670000000000016</v>
      </c>
      <c r="J32">
        <f t="shared" si="3"/>
        <v>350</v>
      </c>
    </row>
    <row r="33" spans="2:10" x14ac:dyDescent="0.3">
      <c r="B33">
        <v>2805</v>
      </c>
      <c r="C33" t="s">
        <v>5</v>
      </c>
      <c r="D33">
        <v>50</v>
      </c>
      <c r="E33">
        <v>135</v>
      </c>
      <c r="F33">
        <f t="shared" si="0"/>
        <v>128.57</v>
      </c>
      <c r="H33">
        <f t="shared" si="1"/>
        <v>128.57</v>
      </c>
      <c r="I33">
        <f t="shared" si="2"/>
        <v>6.4300000000000068</v>
      </c>
      <c r="J33">
        <f t="shared" si="3"/>
        <v>135</v>
      </c>
    </row>
    <row r="34" spans="2:10" x14ac:dyDescent="0.3">
      <c r="B34">
        <v>5063</v>
      </c>
      <c r="C34" t="s">
        <v>5</v>
      </c>
      <c r="D34">
        <v>63</v>
      </c>
      <c r="E34">
        <v>255</v>
      </c>
      <c r="F34">
        <f t="shared" si="0"/>
        <v>242.86</v>
      </c>
      <c r="H34">
        <f t="shared" si="1"/>
        <v>242.86</v>
      </c>
      <c r="I34">
        <f t="shared" si="2"/>
        <v>12.139999999999986</v>
      </c>
      <c r="J34">
        <f t="shared" si="3"/>
        <v>255</v>
      </c>
    </row>
    <row r="35" spans="2:10" x14ac:dyDescent="0.3">
      <c r="B35">
        <v>2807</v>
      </c>
      <c r="C35" t="s">
        <v>5</v>
      </c>
      <c r="D35">
        <v>46.25</v>
      </c>
      <c r="E35">
        <v>290</v>
      </c>
      <c r="F35">
        <f t="shared" si="0"/>
        <v>276.19</v>
      </c>
      <c r="H35">
        <f t="shared" si="1"/>
        <v>276.19</v>
      </c>
      <c r="I35">
        <f t="shared" si="2"/>
        <v>13.810000000000002</v>
      </c>
      <c r="J35">
        <f t="shared" si="3"/>
        <v>290</v>
      </c>
    </row>
    <row r="36" spans="2:10" x14ac:dyDescent="0.3">
      <c r="B36">
        <v>2804</v>
      </c>
      <c r="C36" t="s">
        <v>5</v>
      </c>
      <c r="D36">
        <v>50</v>
      </c>
      <c r="E36">
        <v>265</v>
      </c>
      <c r="F36">
        <f t="shared" si="0"/>
        <v>252.38</v>
      </c>
      <c r="H36">
        <f t="shared" si="1"/>
        <v>252.38</v>
      </c>
      <c r="I36">
        <f t="shared" si="2"/>
        <v>12.620000000000005</v>
      </c>
      <c r="J36">
        <f t="shared" si="3"/>
        <v>265</v>
      </c>
    </row>
    <row r="37" spans="2:10" x14ac:dyDescent="0.3">
      <c r="B37">
        <v>5219</v>
      </c>
      <c r="C37" t="s">
        <v>5</v>
      </c>
      <c r="D37">
        <v>42</v>
      </c>
      <c r="E37">
        <v>375</v>
      </c>
      <c r="F37">
        <f t="shared" si="0"/>
        <v>357.14</v>
      </c>
      <c r="H37">
        <f t="shared" si="1"/>
        <v>357.14</v>
      </c>
      <c r="I37">
        <f t="shared" si="2"/>
        <v>17.860000000000014</v>
      </c>
      <c r="J37">
        <f t="shared" si="3"/>
        <v>375</v>
      </c>
    </row>
    <row r="38" spans="2:10" x14ac:dyDescent="0.3">
      <c r="B38">
        <v>3343</v>
      </c>
      <c r="C38" t="s">
        <v>5</v>
      </c>
      <c r="D38">
        <v>12.9</v>
      </c>
      <c r="E38">
        <v>490</v>
      </c>
      <c r="F38">
        <f t="shared" si="0"/>
        <v>466.67</v>
      </c>
      <c r="H38">
        <f t="shared" si="1"/>
        <v>466.67</v>
      </c>
      <c r="I38">
        <f t="shared" si="2"/>
        <v>23.329999999999984</v>
      </c>
      <c r="J38">
        <f t="shared" si="3"/>
        <v>490</v>
      </c>
    </row>
    <row r="39" spans="2:10" x14ac:dyDescent="0.3">
      <c r="B39">
        <v>4219</v>
      </c>
      <c r="C39" t="s">
        <v>5</v>
      </c>
      <c r="D39">
        <v>42</v>
      </c>
      <c r="E39">
        <v>375</v>
      </c>
      <c r="F39">
        <f t="shared" si="0"/>
        <v>357.14</v>
      </c>
      <c r="H39">
        <f t="shared" si="1"/>
        <v>357.14</v>
      </c>
      <c r="I39">
        <f t="shared" si="2"/>
        <v>17.860000000000014</v>
      </c>
      <c r="J39">
        <f t="shared" si="3"/>
        <v>375</v>
      </c>
    </row>
    <row r="40" spans="2:10" x14ac:dyDescent="0.3">
      <c r="B40">
        <v>5063</v>
      </c>
      <c r="C40" t="s">
        <v>5</v>
      </c>
      <c r="D40">
        <v>22</v>
      </c>
      <c r="E40">
        <v>255</v>
      </c>
      <c r="F40">
        <f t="shared" si="0"/>
        <v>242.86</v>
      </c>
      <c r="H40">
        <f t="shared" si="1"/>
        <v>242.86</v>
      </c>
      <c r="I40">
        <f t="shared" si="2"/>
        <v>12.139999999999986</v>
      </c>
      <c r="J40">
        <f t="shared" si="3"/>
        <v>255</v>
      </c>
    </row>
    <row r="41" spans="2:10" x14ac:dyDescent="0.3">
      <c r="B41">
        <v>5063</v>
      </c>
      <c r="C41" t="s">
        <v>5</v>
      </c>
      <c r="D41">
        <v>32</v>
      </c>
      <c r="E41">
        <v>255</v>
      </c>
      <c r="F41">
        <f t="shared" si="0"/>
        <v>242.86</v>
      </c>
      <c r="H41">
        <f t="shared" si="1"/>
        <v>242.86</v>
      </c>
      <c r="I41">
        <f t="shared" si="2"/>
        <v>12.139999999999986</v>
      </c>
      <c r="J41">
        <f t="shared" si="3"/>
        <v>255</v>
      </c>
    </row>
    <row r="42" spans="2:10" x14ac:dyDescent="0.3">
      <c r="B42">
        <v>5063</v>
      </c>
      <c r="C42" t="s">
        <v>5</v>
      </c>
      <c r="D42">
        <v>38</v>
      </c>
      <c r="E42">
        <v>255</v>
      </c>
      <c r="F42">
        <f t="shared" si="0"/>
        <v>242.86</v>
      </c>
      <c r="H42">
        <f t="shared" si="1"/>
        <v>242.86</v>
      </c>
      <c r="I42">
        <f t="shared" si="2"/>
        <v>12.139999999999986</v>
      </c>
      <c r="J42">
        <f t="shared" si="3"/>
        <v>255</v>
      </c>
    </row>
    <row r="43" spans="2:10" x14ac:dyDescent="0.3">
      <c r="B43">
        <v>2803</v>
      </c>
      <c r="C43" t="s">
        <v>5</v>
      </c>
      <c r="D43">
        <v>18.5</v>
      </c>
      <c r="E43">
        <v>255</v>
      </c>
      <c r="F43">
        <f t="shared" si="0"/>
        <v>242.86</v>
      </c>
      <c r="H43">
        <f t="shared" si="1"/>
        <v>242.86</v>
      </c>
      <c r="I43">
        <f t="shared" si="2"/>
        <v>12.139999999999986</v>
      </c>
      <c r="J43">
        <f t="shared" si="3"/>
        <v>255</v>
      </c>
    </row>
    <row r="44" spans="2:10" x14ac:dyDescent="0.3">
      <c r="B44">
        <v>2810</v>
      </c>
      <c r="C44" t="s">
        <v>5</v>
      </c>
      <c r="D44">
        <v>13</v>
      </c>
      <c r="E44">
        <v>350</v>
      </c>
      <c r="F44">
        <f t="shared" si="0"/>
        <v>333.33</v>
      </c>
      <c r="H44">
        <f t="shared" si="1"/>
        <v>333.33</v>
      </c>
      <c r="I44">
        <f t="shared" si="2"/>
        <v>16.670000000000016</v>
      </c>
      <c r="J44">
        <f t="shared" si="3"/>
        <v>350</v>
      </c>
    </row>
    <row r="45" spans="2:10" x14ac:dyDescent="0.3">
      <c r="B45">
        <v>1535</v>
      </c>
      <c r="C45" t="s">
        <v>5</v>
      </c>
      <c r="D45">
        <v>16</v>
      </c>
      <c r="E45">
        <v>185</v>
      </c>
      <c r="F45">
        <f t="shared" si="0"/>
        <v>176.19</v>
      </c>
      <c r="H45">
        <f t="shared" si="1"/>
        <v>176.19</v>
      </c>
      <c r="I45">
        <f t="shared" si="2"/>
        <v>8.8100000000000023</v>
      </c>
      <c r="J45">
        <f t="shared" si="3"/>
        <v>185</v>
      </c>
    </row>
    <row r="46" spans="2:10" x14ac:dyDescent="0.3">
      <c r="B46">
        <v>1535</v>
      </c>
      <c r="C46" t="s">
        <v>5</v>
      </c>
      <c r="D46">
        <v>11.4</v>
      </c>
      <c r="E46">
        <v>185</v>
      </c>
      <c r="F46">
        <f t="shared" si="0"/>
        <v>176.19</v>
      </c>
      <c r="H46">
        <f t="shared" si="1"/>
        <v>176.19</v>
      </c>
      <c r="I46">
        <f t="shared" si="2"/>
        <v>8.8100000000000023</v>
      </c>
      <c r="J46">
        <f t="shared" si="3"/>
        <v>185</v>
      </c>
    </row>
    <row r="47" spans="2:10" x14ac:dyDescent="0.3">
      <c r="B47">
        <v>1535</v>
      </c>
      <c r="C47" t="s">
        <v>5</v>
      </c>
      <c r="D47">
        <v>12.85</v>
      </c>
      <c r="E47">
        <v>185</v>
      </c>
      <c r="F47">
        <f t="shared" si="0"/>
        <v>176.19</v>
      </c>
      <c r="H47">
        <f t="shared" si="1"/>
        <v>176.19</v>
      </c>
      <c r="I47">
        <f t="shared" si="2"/>
        <v>8.8100000000000023</v>
      </c>
      <c r="J47">
        <f t="shared" si="3"/>
        <v>185</v>
      </c>
    </row>
    <row r="48" spans="2:10" x14ac:dyDescent="0.3">
      <c r="B48">
        <v>1535</v>
      </c>
      <c r="C48" t="s">
        <v>5</v>
      </c>
      <c r="D48">
        <v>12.85</v>
      </c>
      <c r="E48">
        <v>185</v>
      </c>
      <c r="F48">
        <f t="shared" si="0"/>
        <v>176.19</v>
      </c>
      <c r="H48">
        <f t="shared" si="1"/>
        <v>176.19</v>
      </c>
      <c r="I48">
        <f t="shared" si="2"/>
        <v>8.8100000000000023</v>
      </c>
      <c r="J48">
        <f t="shared" si="3"/>
        <v>185</v>
      </c>
    </row>
    <row r="49" spans="2:10" x14ac:dyDescent="0.3">
      <c r="B49">
        <v>2800</v>
      </c>
      <c r="C49" t="s">
        <v>5</v>
      </c>
      <c r="D49">
        <v>36.75</v>
      </c>
      <c r="E49">
        <v>565</v>
      </c>
      <c r="F49">
        <f t="shared" si="0"/>
        <v>538.1</v>
      </c>
      <c r="H49">
        <f t="shared" si="1"/>
        <v>538.1</v>
      </c>
      <c r="I49">
        <f t="shared" si="2"/>
        <v>26.899999999999977</v>
      </c>
      <c r="J49">
        <f t="shared" si="3"/>
        <v>565</v>
      </c>
    </row>
    <row r="50" spans="2:10" x14ac:dyDescent="0.3">
      <c r="B50">
        <v>1538</v>
      </c>
      <c r="C50" t="s">
        <v>5</v>
      </c>
      <c r="D50">
        <v>17.2</v>
      </c>
      <c r="E50">
        <v>185</v>
      </c>
      <c r="F50">
        <f t="shared" si="0"/>
        <v>176.19</v>
      </c>
      <c r="H50">
        <f t="shared" si="1"/>
        <v>176.19</v>
      </c>
      <c r="I50">
        <f t="shared" si="2"/>
        <v>8.8100000000000023</v>
      </c>
      <c r="J50">
        <f t="shared" si="3"/>
        <v>185</v>
      </c>
    </row>
    <row r="51" spans="2:10" x14ac:dyDescent="0.3">
      <c r="B51">
        <v>10</v>
      </c>
      <c r="C51" t="s">
        <v>5</v>
      </c>
      <c r="D51">
        <v>6.3</v>
      </c>
      <c r="E51">
        <v>455</v>
      </c>
      <c r="F51">
        <f t="shared" si="0"/>
        <v>433.33</v>
      </c>
      <c r="H51">
        <f t="shared" si="1"/>
        <v>433.33</v>
      </c>
      <c r="I51">
        <f t="shared" si="2"/>
        <v>21.670000000000016</v>
      </c>
      <c r="J51">
        <f t="shared" si="3"/>
        <v>455</v>
      </c>
    </row>
    <row r="52" spans="2:10" x14ac:dyDescent="0.3">
      <c r="B52">
        <v>5038</v>
      </c>
      <c r="C52" t="s">
        <v>5</v>
      </c>
      <c r="D52">
        <v>37</v>
      </c>
      <c r="E52">
        <v>350</v>
      </c>
      <c r="F52">
        <f t="shared" si="0"/>
        <v>333.33</v>
      </c>
      <c r="H52">
        <f t="shared" si="1"/>
        <v>333.33</v>
      </c>
      <c r="I52">
        <f t="shared" si="2"/>
        <v>16.670000000000016</v>
      </c>
      <c r="J52">
        <f t="shared" si="3"/>
        <v>350</v>
      </c>
    </row>
    <row r="53" spans="2:10" x14ac:dyDescent="0.3">
      <c r="B53">
        <v>5588</v>
      </c>
      <c r="C53" t="s">
        <v>5</v>
      </c>
      <c r="D53">
        <v>35.700000000000003</v>
      </c>
      <c r="E53">
        <v>160</v>
      </c>
      <c r="F53">
        <f t="shared" si="0"/>
        <v>152.38</v>
      </c>
      <c r="H53">
        <f t="shared" si="1"/>
        <v>152.38</v>
      </c>
      <c r="I53">
        <f t="shared" si="2"/>
        <v>7.6200000000000045</v>
      </c>
      <c r="J53">
        <f t="shared" si="3"/>
        <v>160</v>
      </c>
    </row>
    <row r="54" spans="2:10" x14ac:dyDescent="0.3">
      <c r="B54">
        <v>3254</v>
      </c>
      <c r="C54" t="s">
        <v>5</v>
      </c>
      <c r="D54">
        <v>16</v>
      </c>
      <c r="E54">
        <v>410</v>
      </c>
      <c r="F54">
        <f t="shared" si="0"/>
        <v>390.48</v>
      </c>
      <c r="H54">
        <f t="shared" si="1"/>
        <v>390.48</v>
      </c>
      <c r="I54">
        <f t="shared" si="2"/>
        <v>19.519999999999982</v>
      </c>
      <c r="J54">
        <f t="shared" si="3"/>
        <v>410</v>
      </c>
    </row>
    <row r="55" spans="2:10" x14ac:dyDescent="0.3">
      <c r="B55">
        <v>1449</v>
      </c>
      <c r="C55" t="s">
        <v>5</v>
      </c>
      <c r="D55">
        <v>50</v>
      </c>
      <c r="E55">
        <v>165</v>
      </c>
      <c r="F55">
        <f t="shared" si="0"/>
        <v>157.13999999999999</v>
      </c>
      <c r="H55">
        <f t="shared" si="1"/>
        <v>157.13999999999999</v>
      </c>
      <c r="I55">
        <f t="shared" si="2"/>
        <v>7.8600000000000136</v>
      </c>
      <c r="J55">
        <f t="shared" si="3"/>
        <v>165</v>
      </c>
    </row>
    <row r="56" spans="2:10" x14ac:dyDescent="0.3">
      <c r="B56">
        <v>5218</v>
      </c>
      <c r="C56" t="s">
        <v>5</v>
      </c>
      <c r="D56">
        <v>41</v>
      </c>
      <c r="E56">
        <v>375</v>
      </c>
      <c r="F56">
        <f t="shared" si="0"/>
        <v>357.14</v>
      </c>
      <c r="H56">
        <f t="shared" si="1"/>
        <v>357.14</v>
      </c>
      <c r="I56">
        <f t="shared" si="2"/>
        <v>17.860000000000014</v>
      </c>
      <c r="J56">
        <f t="shared" si="3"/>
        <v>375</v>
      </c>
    </row>
    <row r="57" spans="2:10" x14ac:dyDescent="0.3">
      <c r="B57">
        <v>3122</v>
      </c>
      <c r="C57" t="s">
        <v>5</v>
      </c>
      <c r="D57">
        <v>44.7</v>
      </c>
      <c r="E57">
        <v>635</v>
      </c>
      <c r="F57">
        <f t="shared" si="0"/>
        <v>604.76</v>
      </c>
      <c r="H57">
        <f t="shared" si="1"/>
        <v>604.76</v>
      </c>
      <c r="I57">
        <f t="shared" si="2"/>
        <v>30.240000000000009</v>
      </c>
      <c r="J57">
        <f t="shared" si="3"/>
        <v>635</v>
      </c>
    </row>
    <row r="58" spans="2:10" x14ac:dyDescent="0.3">
      <c r="B58">
        <v>3283</v>
      </c>
      <c r="C58" t="s">
        <v>5</v>
      </c>
      <c r="D58">
        <v>37</v>
      </c>
      <c r="E58">
        <v>295</v>
      </c>
      <c r="F58">
        <f t="shared" si="0"/>
        <v>280.95</v>
      </c>
      <c r="H58">
        <f t="shared" si="1"/>
        <v>280.95</v>
      </c>
      <c r="I58">
        <f t="shared" si="2"/>
        <v>14.050000000000011</v>
      </c>
      <c r="J58">
        <f t="shared" si="3"/>
        <v>295</v>
      </c>
    </row>
    <row r="59" spans="2:10" x14ac:dyDescent="0.3">
      <c r="B59">
        <v>1333</v>
      </c>
      <c r="C59" t="s">
        <v>5</v>
      </c>
      <c r="D59">
        <v>47.5</v>
      </c>
      <c r="E59">
        <v>165</v>
      </c>
      <c r="F59">
        <f t="shared" si="0"/>
        <v>157.13999999999999</v>
      </c>
      <c r="H59">
        <f t="shared" si="1"/>
        <v>157.13999999999999</v>
      </c>
      <c r="I59">
        <f t="shared" si="2"/>
        <v>7.8600000000000136</v>
      </c>
      <c r="J59">
        <f t="shared" si="3"/>
        <v>165</v>
      </c>
    </row>
    <row r="60" spans="2:10" x14ac:dyDescent="0.3">
      <c r="B60">
        <v>3234</v>
      </c>
      <c r="C60" t="s">
        <v>5</v>
      </c>
      <c r="D60">
        <v>65.900000000000006</v>
      </c>
      <c r="E60">
        <v>275</v>
      </c>
      <c r="F60">
        <f t="shared" si="0"/>
        <v>261.89999999999998</v>
      </c>
      <c r="H60">
        <f t="shared" si="1"/>
        <v>261.89999999999998</v>
      </c>
      <c r="I60">
        <f t="shared" si="2"/>
        <v>13.100000000000023</v>
      </c>
      <c r="J60">
        <f t="shared" si="3"/>
        <v>275</v>
      </c>
    </row>
    <row r="61" spans="2:10" x14ac:dyDescent="0.3">
      <c r="B61">
        <v>5219</v>
      </c>
      <c r="C61" t="s">
        <v>5</v>
      </c>
      <c r="D61">
        <v>41.5</v>
      </c>
      <c r="E61">
        <v>375</v>
      </c>
      <c r="F61">
        <f t="shared" si="0"/>
        <v>357.14</v>
      </c>
      <c r="H61">
        <f t="shared" si="1"/>
        <v>357.14</v>
      </c>
      <c r="I61">
        <f t="shared" si="2"/>
        <v>17.860000000000014</v>
      </c>
      <c r="J61">
        <f t="shared" si="3"/>
        <v>375</v>
      </c>
    </row>
    <row r="62" spans="2:10" x14ac:dyDescent="0.3">
      <c r="B62">
        <v>5218</v>
      </c>
      <c r="C62" t="s">
        <v>5</v>
      </c>
      <c r="D62">
        <v>41.75</v>
      </c>
      <c r="E62">
        <v>375</v>
      </c>
      <c r="F62">
        <f t="shared" si="0"/>
        <v>357.14</v>
      </c>
      <c r="H62">
        <f t="shared" si="1"/>
        <v>357.14</v>
      </c>
      <c r="I62">
        <f t="shared" si="2"/>
        <v>17.860000000000014</v>
      </c>
      <c r="J62">
        <f t="shared" si="3"/>
        <v>375</v>
      </c>
    </row>
    <row r="63" spans="2:10" x14ac:dyDescent="0.3">
      <c r="B63">
        <v>872</v>
      </c>
      <c r="C63" t="s">
        <v>5</v>
      </c>
      <c r="D63">
        <v>49.75</v>
      </c>
      <c r="E63">
        <v>115</v>
      </c>
      <c r="F63">
        <f t="shared" si="0"/>
        <v>109.52</v>
      </c>
      <c r="H63">
        <f t="shared" si="1"/>
        <v>109.52</v>
      </c>
      <c r="I63">
        <f t="shared" si="2"/>
        <v>5.480000000000004</v>
      </c>
      <c r="J63">
        <f t="shared" si="3"/>
        <v>115</v>
      </c>
    </row>
    <row r="64" spans="2:10" x14ac:dyDescent="0.3">
      <c r="B64">
        <v>2805</v>
      </c>
      <c r="C64" t="s">
        <v>5</v>
      </c>
      <c r="D64">
        <v>8</v>
      </c>
      <c r="E64">
        <v>135</v>
      </c>
      <c r="F64">
        <f t="shared" si="0"/>
        <v>128.57</v>
      </c>
      <c r="H64">
        <f t="shared" si="1"/>
        <v>128.57</v>
      </c>
      <c r="I64">
        <f t="shared" si="2"/>
        <v>6.4300000000000068</v>
      </c>
      <c r="J64">
        <f t="shared" si="3"/>
        <v>135</v>
      </c>
    </row>
    <row r="65" spans="2:10" x14ac:dyDescent="0.3">
      <c r="B65">
        <v>2805</v>
      </c>
      <c r="C65" t="s">
        <v>5</v>
      </c>
      <c r="D65">
        <v>40.4</v>
      </c>
      <c r="E65">
        <v>135</v>
      </c>
      <c r="F65">
        <f t="shared" si="0"/>
        <v>128.57</v>
      </c>
      <c r="H65">
        <f t="shared" si="1"/>
        <v>128.57</v>
      </c>
      <c r="I65">
        <f t="shared" si="2"/>
        <v>6.4300000000000068</v>
      </c>
      <c r="J65">
        <f t="shared" si="3"/>
        <v>135</v>
      </c>
    </row>
    <row r="66" spans="2:10" x14ac:dyDescent="0.3">
      <c r="B66">
        <v>2831</v>
      </c>
      <c r="C66" t="s">
        <v>5</v>
      </c>
      <c r="D66">
        <v>17.399999999999999</v>
      </c>
      <c r="E66">
        <v>495</v>
      </c>
      <c r="F66">
        <f t="shared" si="0"/>
        <v>471.43</v>
      </c>
      <c r="H66">
        <f t="shared" si="1"/>
        <v>471.43</v>
      </c>
      <c r="I66">
        <f t="shared" si="2"/>
        <v>23.569999999999993</v>
      </c>
      <c r="J66">
        <f t="shared" si="3"/>
        <v>495</v>
      </c>
    </row>
    <row r="67" spans="2:10" x14ac:dyDescent="0.3">
      <c r="B67">
        <v>3143</v>
      </c>
      <c r="C67" t="s">
        <v>5</v>
      </c>
      <c r="D67">
        <v>15.1</v>
      </c>
      <c r="E67">
        <v>510</v>
      </c>
      <c r="F67">
        <f t="shared" si="0"/>
        <v>485.71</v>
      </c>
      <c r="H67">
        <f t="shared" si="1"/>
        <v>485.71</v>
      </c>
      <c r="I67">
        <f t="shared" si="2"/>
        <v>24.29000000000002</v>
      </c>
      <c r="J67">
        <f t="shared" si="3"/>
        <v>510</v>
      </c>
    </row>
    <row r="68" spans="2:10" x14ac:dyDescent="0.3">
      <c r="B68">
        <v>5037</v>
      </c>
      <c r="C68" t="s">
        <v>5</v>
      </c>
      <c r="D68">
        <v>9.4</v>
      </c>
      <c r="E68">
        <v>135</v>
      </c>
      <c r="F68">
        <f t="shared" ref="F68:F93" si="4">ROUND(IF(E68&gt;2500, E68/1.18, E68/1.05),2)</f>
        <v>128.57</v>
      </c>
      <c r="H68">
        <f t="shared" ref="H68:H93" si="5">ROUND(IF(E68&gt;2500, E68/1.18, E68/1.05),2)</f>
        <v>128.57</v>
      </c>
      <c r="I68">
        <f t="shared" ref="I68:I93" si="6">E68-F68</f>
        <v>6.4300000000000068</v>
      </c>
      <c r="J68">
        <f t="shared" ref="J68:J93" si="7">SUM(H68:I68)</f>
        <v>135</v>
      </c>
    </row>
    <row r="69" spans="2:10" x14ac:dyDescent="0.3">
      <c r="B69">
        <v>274</v>
      </c>
      <c r="C69" t="s">
        <v>5</v>
      </c>
      <c r="D69">
        <v>10</v>
      </c>
      <c r="E69">
        <v>525</v>
      </c>
      <c r="F69">
        <f t="shared" si="4"/>
        <v>500</v>
      </c>
      <c r="H69">
        <f t="shared" si="5"/>
        <v>500</v>
      </c>
      <c r="I69">
        <f t="shared" si="6"/>
        <v>25</v>
      </c>
      <c r="J69">
        <f t="shared" si="7"/>
        <v>525</v>
      </c>
    </row>
    <row r="70" spans="2:10" x14ac:dyDescent="0.3">
      <c r="B70">
        <v>3252</v>
      </c>
      <c r="C70" t="s">
        <v>5</v>
      </c>
      <c r="D70">
        <v>5.7</v>
      </c>
      <c r="E70">
        <v>360</v>
      </c>
      <c r="F70">
        <f t="shared" si="4"/>
        <v>342.86</v>
      </c>
      <c r="H70">
        <f t="shared" si="5"/>
        <v>342.86</v>
      </c>
      <c r="I70">
        <f t="shared" si="6"/>
        <v>17.139999999999986</v>
      </c>
      <c r="J70">
        <f t="shared" si="7"/>
        <v>360</v>
      </c>
    </row>
    <row r="71" spans="2:10" x14ac:dyDescent="0.3">
      <c r="B71">
        <v>3213</v>
      </c>
      <c r="C71" t="s">
        <v>5</v>
      </c>
      <c r="D71">
        <v>50</v>
      </c>
      <c r="E71">
        <v>135</v>
      </c>
      <c r="F71">
        <f t="shared" si="4"/>
        <v>128.57</v>
      </c>
      <c r="H71">
        <f t="shared" si="5"/>
        <v>128.57</v>
      </c>
      <c r="I71">
        <f t="shared" si="6"/>
        <v>6.4300000000000068</v>
      </c>
      <c r="J71">
        <f t="shared" si="7"/>
        <v>135</v>
      </c>
    </row>
    <row r="72" spans="2:10" x14ac:dyDescent="0.3">
      <c r="B72">
        <v>2932</v>
      </c>
      <c r="C72" t="s">
        <v>5</v>
      </c>
      <c r="D72">
        <v>20.56</v>
      </c>
      <c r="E72">
        <v>620</v>
      </c>
      <c r="F72">
        <f t="shared" si="4"/>
        <v>590.48</v>
      </c>
      <c r="H72">
        <f t="shared" si="5"/>
        <v>590.48</v>
      </c>
      <c r="I72">
        <f t="shared" si="6"/>
        <v>29.519999999999982</v>
      </c>
      <c r="J72">
        <f t="shared" si="7"/>
        <v>620</v>
      </c>
    </row>
    <row r="73" spans="2:10" x14ac:dyDescent="0.3">
      <c r="B73">
        <v>2811</v>
      </c>
      <c r="C73" t="s">
        <v>5</v>
      </c>
      <c r="D73">
        <v>47.9</v>
      </c>
      <c r="E73">
        <v>340</v>
      </c>
      <c r="F73">
        <f t="shared" si="4"/>
        <v>323.81</v>
      </c>
      <c r="H73">
        <f t="shared" si="5"/>
        <v>323.81</v>
      </c>
      <c r="I73">
        <f t="shared" si="6"/>
        <v>16.189999999999998</v>
      </c>
      <c r="J73">
        <f t="shared" si="7"/>
        <v>340</v>
      </c>
    </row>
    <row r="74" spans="2:10" x14ac:dyDescent="0.3">
      <c r="B74">
        <v>3238</v>
      </c>
      <c r="C74" t="s">
        <v>5</v>
      </c>
      <c r="D74">
        <v>20</v>
      </c>
      <c r="E74">
        <v>445</v>
      </c>
      <c r="F74">
        <f t="shared" si="4"/>
        <v>423.81</v>
      </c>
      <c r="H74">
        <f t="shared" si="5"/>
        <v>423.81</v>
      </c>
      <c r="I74">
        <f t="shared" si="6"/>
        <v>21.189999999999998</v>
      </c>
      <c r="J74">
        <f t="shared" si="7"/>
        <v>445</v>
      </c>
    </row>
    <row r="75" spans="2:10" x14ac:dyDescent="0.3">
      <c r="B75">
        <v>3341</v>
      </c>
      <c r="C75" t="s">
        <v>5</v>
      </c>
      <c r="D75">
        <v>28.8</v>
      </c>
      <c r="E75">
        <v>655</v>
      </c>
      <c r="F75">
        <f t="shared" si="4"/>
        <v>623.80999999999995</v>
      </c>
      <c r="H75">
        <f t="shared" si="5"/>
        <v>623.80999999999995</v>
      </c>
      <c r="I75">
        <f t="shared" si="6"/>
        <v>31.190000000000055</v>
      </c>
      <c r="J75">
        <f t="shared" si="7"/>
        <v>655</v>
      </c>
    </row>
    <row r="76" spans="2:10" x14ac:dyDescent="0.3">
      <c r="B76">
        <v>2878</v>
      </c>
      <c r="C76" t="s">
        <v>5</v>
      </c>
      <c r="D76">
        <v>10</v>
      </c>
      <c r="E76">
        <v>635</v>
      </c>
      <c r="F76">
        <f t="shared" si="4"/>
        <v>604.76</v>
      </c>
      <c r="H76">
        <f t="shared" si="5"/>
        <v>604.76</v>
      </c>
      <c r="I76">
        <f t="shared" si="6"/>
        <v>30.240000000000009</v>
      </c>
      <c r="J76">
        <f t="shared" si="7"/>
        <v>635</v>
      </c>
    </row>
    <row r="77" spans="2:10" x14ac:dyDescent="0.3">
      <c r="B77">
        <v>2807</v>
      </c>
      <c r="C77" t="s">
        <v>5</v>
      </c>
      <c r="D77">
        <v>47.2</v>
      </c>
      <c r="E77">
        <v>290</v>
      </c>
      <c r="F77">
        <f t="shared" si="4"/>
        <v>276.19</v>
      </c>
      <c r="H77">
        <f t="shared" si="5"/>
        <v>276.19</v>
      </c>
      <c r="I77">
        <f t="shared" si="6"/>
        <v>13.810000000000002</v>
      </c>
      <c r="J77">
        <f t="shared" si="7"/>
        <v>290</v>
      </c>
    </row>
    <row r="78" spans="2:10" x14ac:dyDescent="0.3">
      <c r="B78">
        <v>2934</v>
      </c>
      <c r="C78" t="s">
        <v>5</v>
      </c>
      <c r="D78">
        <v>20</v>
      </c>
      <c r="E78">
        <v>1050</v>
      </c>
      <c r="F78">
        <f t="shared" si="4"/>
        <v>1000</v>
      </c>
      <c r="H78">
        <f t="shared" si="5"/>
        <v>1000</v>
      </c>
      <c r="I78">
        <f t="shared" si="6"/>
        <v>50</v>
      </c>
      <c r="J78">
        <f t="shared" si="7"/>
        <v>1050</v>
      </c>
    </row>
    <row r="79" spans="2:10" x14ac:dyDescent="0.3">
      <c r="B79">
        <v>2928</v>
      </c>
      <c r="C79" t="s">
        <v>5</v>
      </c>
      <c r="D79">
        <v>37</v>
      </c>
      <c r="E79">
        <v>625</v>
      </c>
      <c r="F79">
        <f t="shared" si="4"/>
        <v>595.24</v>
      </c>
      <c r="H79">
        <f t="shared" si="5"/>
        <v>595.24</v>
      </c>
      <c r="I79">
        <f t="shared" si="6"/>
        <v>29.759999999999991</v>
      </c>
      <c r="J79">
        <f t="shared" si="7"/>
        <v>625</v>
      </c>
    </row>
    <row r="80" spans="2:10" x14ac:dyDescent="0.3">
      <c r="B80">
        <v>3245</v>
      </c>
      <c r="C80" t="s">
        <v>5</v>
      </c>
      <c r="D80">
        <v>21</v>
      </c>
      <c r="E80">
        <v>750</v>
      </c>
      <c r="F80">
        <f t="shared" si="4"/>
        <v>714.29</v>
      </c>
      <c r="H80">
        <f t="shared" si="5"/>
        <v>714.29</v>
      </c>
      <c r="I80">
        <f t="shared" si="6"/>
        <v>35.710000000000036</v>
      </c>
      <c r="J80">
        <f t="shared" si="7"/>
        <v>750</v>
      </c>
    </row>
    <row r="81" spans="2:10" x14ac:dyDescent="0.3">
      <c r="B81">
        <v>3344</v>
      </c>
      <c r="C81" t="s">
        <v>5</v>
      </c>
      <c r="D81">
        <v>21</v>
      </c>
      <c r="E81">
        <v>950</v>
      </c>
      <c r="F81">
        <f t="shared" si="4"/>
        <v>904.76</v>
      </c>
      <c r="H81">
        <f t="shared" si="5"/>
        <v>904.76</v>
      </c>
      <c r="I81">
        <f t="shared" si="6"/>
        <v>45.240000000000009</v>
      </c>
      <c r="J81">
        <f t="shared" si="7"/>
        <v>950</v>
      </c>
    </row>
    <row r="82" spans="2:10" x14ac:dyDescent="0.3">
      <c r="B82">
        <v>2773</v>
      </c>
      <c r="C82" t="s">
        <v>5</v>
      </c>
      <c r="D82">
        <v>20</v>
      </c>
      <c r="E82">
        <v>595</v>
      </c>
      <c r="F82">
        <f t="shared" si="4"/>
        <v>566.66999999999996</v>
      </c>
      <c r="H82">
        <f t="shared" si="5"/>
        <v>566.66999999999996</v>
      </c>
      <c r="I82">
        <f t="shared" si="6"/>
        <v>28.330000000000041</v>
      </c>
      <c r="J82">
        <f t="shared" si="7"/>
        <v>595</v>
      </c>
    </row>
    <row r="83" spans="2:10" x14ac:dyDescent="0.3">
      <c r="B83">
        <v>2808</v>
      </c>
      <c r="C83" t="s">
        <v>5</v>
      </c>
      <c r="D83">
        <v>54.5</v>
      </c>
      <c r="E83">
        <v>370</v>
      </c>
      <c r="F83">
        <f t="shared" si="4"/>
        <v>352.38</v>
      </c>
      <c r="H83">
        <f t="shared" si="5"/>
        <v>352.38</v>
      </c>
      <c r="I83">
        <f t="shared" si="6"/>
        <v>17.620000000000005</v>
      </c>
      <c r="J83">
        <f t="shared" si="7"/>
        <v>370</v>
      </c>
    </row>
    <row r="84" spans="2:10" x14ac:dyDescent="0.3">
      <c r="B84">
        <v>2780</v>
      </c>
      <c r="C84" t="s">
        <v>5</v>
      </c>
      <c r="D84">
        <v>18</v>
      </c>
      <c r="E84">
        <v>900</v>
      </c>
      <c r="F84">
        <f t="shared" si="4"/>
        <v>857.14</v>
      </c>
      <c r="H84">
        <f t="shared" si="5"/>
        <v>857.14</v>
      </c>
      <c r="I84">
        <f t="shared" si="6"/>
        <v>42.860000000000014</v>
      </c>
      <c r="J84">
        <f t="shared" si="7"/>
        <v>900</v>
      </c>
    </row>
    <row r="85" spans="2:10" x14ac:dyDescent="0.3">
      <c r="B85">
        <v>1528</v>
      </c>
      <c r="C85" t="s">
        <v>5</v>
      </c>
      <c r="D85">
        <v>20</v>
      </c>
      <c r="E85">
        <v>395</v>
      </c>
      <c r="F85">
        <f t="shared" si="4"/>
        <v>376.19</v>
      </c>
      <c r="H85">
        <f t="shared" si="5"/>
        <v>376.19</v>
      </c>
      <c r="I85">
        <f t="shared" si="6"/>
        <v>18.810000000000002</v>
      </c>
      <c r="J85">
        <f t="shared" si="7"/>
        <v>395</v>
      </c>
    </row>
    <row r="86" spans="2:10" x14ac:dyDescent="0.3">
      <c r="B86">
        <v>4337</v>
      </c>
      <c r="C86" t="s">
        <v>5</v>
      </c>
      <c r="D86">
        <v>22.5</v>
      </c>
      <c r="E86">
        <v>495</v>
      </c>
      <c r="F86">
        <f t="shared" si="4"/>
        <v>471.43</v>
      </c>
      <c r="H86">
        <f t="shared" si="5"/>
        <v>471.43</v>
      </c>
      <c r="I86">
        <f t="shared" si="6"/>
        <v>23.569999999999993</v>
      </c>
      <c r="J86">
        <f t="shared" si="7"/>
        <v>495</v>
      </c>
    </row>
    <row r="87" spans="2:10" x14ac:dyDescent="0.3">
      <c r="B87">
        <v>2930</v>
      </c>
      <c r="C87" t="s">
        <v>5</v>
      </c>
      <c r="D87">
        <v>33.299999999999997</v>
      </c>
      <c r="E87">
        <v>510</v>
      </c>
      <c r="F87">
        <f t="shared" si="4"/>
        <v>485.71</v>
      </c>
      <c r="H87">
        <f t="shared" si="5"/>
        <v>485.71</v>
      </c>
      <c r="I87">
        <f t="shared" si="6"/>
        <v>24.29000000000002</v>
      </c>
      <c r="J87">
        <f t="shared" si="7"/>
        <v>510</v>
      </c>
    </row>
    <row r="88" spans="2:10" x14ac:dyDescent="0.3">
      <c r="B88">
        <v>173</v>
      </c>
      <c r="C88" t="s">
        <v>5</v>
      </c>
      <c r="D88">
        <v>16.3</v>
      </c>
      <c r="E88">
        <v>175</v>
      </c>
      <c r="F88">
        <f t="shared" si="4"/>
        <v>166.67</v>
      </c>
      <c r="H88">
        <f t="shared" si="5"/>
        <v>166.67</v>
      </c>
      <c r="I88">
        <f t="shared" si="6"/>
        <v>8.3300000000000125</v>
      </c>
      <c r="J88">
        <f t="shared" si="7"/>
        <v>175</v>
      </c>
    </row>
    <row r="89" spans="2:10" x14ac:dyDescent="0.3">
      <c r="B89">
        <v>2778</v>
      </c>
      <c r="C89" t="s">
        <v>5</v>
      </c>
      <c r="D89">
        <v>20.75</v>
      </c>
      <c r="E89">
        <v>430</v>
      </c>
      <c r="F89">
        <f t="shared" si="4"/>
        <v>409.52</v>
      </c>
      <c r="H89">
        <f t="shared" si="5"/>
        <v>409.52</v>
      </c>
      <c r="I89">
        <f t="shared" si="6"/>
        <v>20.480000000000018</v>
      </c>
      <c r="J89">
        <f t="shared" si="7"/>
        <v>430</v>
      </c>
    </row>
    <row r="90" spans="2:10" x14ac:dyDescent="0.3">
      <c r="B90">
        <v>3388</v>
      </c>
      <c r="C90" t="s">
        <v>5</v>
      </c>
      <c r="D90">
        <v>20.8</v>
      </c>
      <c r="E90">
        <v>410</v>
      </c>
      <c r="F90">
        <f t="shared" si="4"/>
        <v>390.48</v>
      </c>
      <c r="H90">
        <f t="shared" si="5"/>
        <v>390.48</v>
      </c>
      <c r="I90">
        <f t="shared" si="6"/>
        <v>19.519999999999982</v>
      </c>
      <c r="J90">
        <f t="shared" si="7"/>
        <v>410</v>
      </c>
    </row>
    <row r="91" spans="2:10" x14ac:dyDescent="0.3">
      <c r="B91">
        <v>3250</v>
      </c>
      <c r="C91" t="s">
        <v>5</v>
      </c>
      <c r="D91">
        <v>18.600000000000001</v>
      </c>
      <c r="E91">
        <v>995</v>
      </c>
      <c r="F91">
        <f t="shared" si="4"/>
        <v>947.62</v>
      </c>
      <c r="H91">
        <f t="shared" si="5"/>
        <v>947.62</v>
      </c>
      <c r="I91">
        <f t="shared" si="6"/>
        <v>47.379999999999995</v>
      </c>
      <c r="J91">
        <f t="shared" si="7"/>
        <v>995</v>
      </c>
    </row>
    <row r="92" spans="2:10" x14ac:dyDescent="0.3">
      <c r="B92">
        <v>276</v>
      </c>
      <c r="C92" t="s">
        <v>5</v>
      </c>
      <c r="D92">
        <v>10</v>
      </c>
      <c r="E92">
        <v>475</v>
      </c>
      <c r="F92">
        <f t="shared" si="4"/>
        <v>452.38</v>
      </c>
      <c r="H92">
        <f t="shared" si="5"/>
        <v>452.38</v>
      </c>
      <c r="I92">
        <f t="shared" si="6"/>
        <v>22.620000000000005</v>
      </c>
      <c r="J92">
        <f t="shared" si="7"/>
        <v>475</v>
      </c>
    </row>
    <row r="93" spans="2:10" x14ac:dyDescent="0.3">
      <c r="B93">
        <v>206</v>
      </c>
      <c r="C93" t="s">
        <v>5</v>
      </c>
      <c r="D93">
        <v>29</v>
      </c>
      <c r="E93">
        <v>190</v>
      </c>
      <c r="F93">
        <f t="shared" si="4"/>
        <v>180.95</v>
      </c>
      <c r="H93">
        <f t="shared" si="5"/>
        <v>180.95</v>
      </c>
      <c r="I93">
        <f t="shared" si="6"/>
        <v>9.0500000000000114</v>
      </c>
      <c r="J93">
        <f t="shared" si="7"/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96"/>
  <sheetViews>
    <sheetView topLeftCell="A72" workbookViewId="0">
      <selection activeCell="F92" sqref="F92"/>
    </sheetView>
  </sheetViews>
  <sheetFormatPr defaultRowHeight="14.4" x14ac:dyDescent="0.3"/>
  <cols>
    <col min="3" max="3" width="16.6640625" customWidth="1"/>
    <col min="4" max="4" width="8.109375" customWidth="1"/>
    <col min="6" max="6" width="28.5546875" customWidth="1"/>
  </cols>
  <sheetData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6</v>
      </c>
    </row>
    <row r="4" spans="1:10" x14ac:dyDescent="0.3">
      <c r="B4">
        <v>34</v>
      </c>
      <c r="C4" t="s">
        <v>5</v>
      </c>
      <c r="D4">
        <v>25.75</v>
      </c>
      <c r="E4">
        <v>275</v>
      </c>
      <c r="F4">
        <f>ROUND(IF(E4&gt;2500, E4/1.18, E4/1.05),2)</f>
        <v>261.89999999999998</v>
      </c>
      <c r="H4">
        <f>ROUND(IF(E4&gt;2500, E4/1.18, E4/1.05),2)</f>
        <v>261.89999999999998</v>
      </c>
      <c r="I4">
        <f>E4-F4</f>
        <v>13.100000000000023</v>
      </c>
      <c r="J4">
        <f>SUM(H4:I4)</f>
        <v>275</v>
      </c>
    </row>
    <row r="5" spans="1:10" x14ac:dyDescent="0.3">
      <c r="B5">
        <v>34</v>
      </c>
      <c r="C5" t="s">
        <v>5</v>
      </c>
      <c r="D5">
        <v>22</v>
      </c>
      <c r="E5">
        <v>375</v>
      </c>
      <c r="F5">
        <f t="shared" ref="F5:F68" si="0">ROUND(IF(E5&gt;2500, E5/1.18, E5/1.05),2)</f>
        <v>357.14</v>
      </c>
      <c r="H5">
        <f t="shared" ref="H5:H68" si="1">ROUND(IF(E5&gt;2500, E5/1.18, E5/1.05),2)</f>
        <v>357.14</v>
      </c>
      <c r="I5">
        <f t="shared" ref="I5:I68" si="2">E5-F5</f>
        <v>17.860000000000014</v>
      </c>
      <c r="J5">
        <f t="shared" ref="J5:J68" si="3">SUM(H5:I5)</f>
        <v>375</v>
      </c>
    </row>
    <row r="6" spans="1:10" x14ac:dyDescent="0.3">
      <c r="B6">
        <v>5624</v>
      </c>
      <c r="C6" t="s">
        <v>5</v>
      </c>
      <c r="D6">
        <v>26</v>
      </c>
      <c r="E6">
        <v>315</v>
      </c>
      <c r="F6">
        <f t="shared" si="0"/>
        <v>300</v>
      </c>
      <c r="H6">
        <f t="shared" si="1"/>
        <v>300</v>
      </c>
      <c r="I6">
        <f t="shared" si="2"/>
        <v>15</v>
      </c>
      <c r="J6">
        <f t="shared" si="3"/>
        <v>315</v>
      </c>
    </row>
    <row r="7" spans="1:10" x14ac:dyDescent="0.3">
      <c r="B7">
        <v>41</v>
      </c>
      <c r="C7" t="s">
        <v>5</v>
      </c>
      <c r="D7">
        <v>25.25</v>
      </c>
      <c r="E7">
        <v>435</v>
      </c>
      <c r="F7">
        <f t="shared" si="0"/>
        <v>414.29</v>
      </c>
      <c r="H7">
        <f t="shared" si="1"/>
        <v>414.29</v>
      </c>
      <c r="I7">
        <f t="shared" si="2"/>
        <v>20.70999999999998</v>
      </c>
      <c r="J7">
        <f t="shared" si="3"/>
        <v>435</v>
      </c>
    </row>
    <row r="8" spans="1:10" x14ac:dyDescent="0.3">
      <c r="B8">
        <v>41</v>
      </c>
      <c r="C8" t="s">
        <v>5</v>
      </c>
      <c r="D8">
        <v>35</v>
      </c>
      <c r="E8">
        <v>435</v>
      </c>
      <c r="F8">
        <f t="shared" si="0"/>
        <v>414.29</v>
      </c>
      <c r="H8">
        <f t="shared" si="1"/>
        <v>414.29</v>
      </c>
      <c r="I8">
        <f t="shared" si="2"/>
        <v>20.70999999999998</v>
      </c>
      <c r="J8">
        <f t="shared" si="3"/>
        <v>435</v>
      </c>
    </row>
    <row r="9" spans="1:10" x14ac:dyDescent="0.3">
      <c r="B9">
        <v>1822</v>
      </c>
      <c r="C9" t="s">
        <v>5</v>
      </c>
      <c r="D9">
        <v>20.3</v>
      </c>
      <c r="E9">
        <v>175</v>
      </c>
      <c r="F9">
        <f t="shared" si="0"/>
        <v>166.67</v>
      </c>
      <c r="H9">
        <f t="shared" si="1"/>
        <v>166.67</v>
      </c>
      <c r="I9">
        <f t="shared" si="2"/>
        <v>8.3300000000000125</v>
      </c>
      <c r="J9">
        <f t="shared" si="3"/>
        <v>175</v>
      </c>
    </row>
    <row r="10" spans="1:10" x14ac:dyDescent="0.3">
      <c r="B10">
        <v>1821</v>
      </c>
      <c r="C10" t="s">
        <v>5</v>
      </c>
      <c r="D10">
        <v>20.100000000000001</v>
      </c>
      <c r="E10">
        <v>175</v>
      </c>
      <c r="F10">
        <f t="shared" si="0"/>
        <v>166.67</v>
      </c>
      <c r="H10">
        <f t="shared" si="1"/>
        <v>166.67</v>
      </c>
      <c r="I10">
        <f t="shared" si="2"/>
        <v>8.3300000000000125</v>
      </c>
      <c r="J10">
        <f t="shared" si="3"/>
        <v>175</v>
      </c>
    </row>
    <row r="11" spans="1:10" x14ac:dyDescent="0.3">
      <c r="B11">
        <v>5662</v>
      </c>
      <c r="C11" t="s">
        <v>5</v>
      </c>
      <c r="D11">
        <v>32</v>
      </c>
      <c r="E11">
        <v>160</v>
      </c>
      <c r="F11">
        <f t="shared" si="0"/>
        <v>152.38</v>
      </c>
      <c r="H11">
        <f t="shared" si="1"/>
        <v>152.38</v>
      </c>
      <c r="I11">
        <f t="shared" si="2"/>
        <v>7.6200000000000045</v>
      </c>
      <c r="J11">
        <f t="shared" si="3"/>
        <v>160</v>
      </c>
    </row>
    <row r="12" spans="1:10" x14ac:dyDescent="0.3">
      <c r="B12">
        <v>3357</v>
      </c>
      <c r="C12" t="s">
        <v>5</v>
      </c>
      <c r="D12">
        <v>23.25</v>
      </c>
      <c r="E12">
        <v>575</v>
      </c>
      <c r="F12">
        <f t="shared" si="0"/>
        <v>547.62</v>
      </c>
      <c r="H12">
        <f t="shared" si="1"/>
        <v>547.62</v>
      </c>
      <c r="I12">
        <f t="shared" si="2"/>
        <v>27.379999999999995</v>
      </c>
      <c r="J12">
        <f t="shared" si="3"/>
        <v>575</v>
      </c>
    </row>
    <row r="13" spans="1:10" x14ac:dyDescent="0.3">
      <c r="B13">
        <v>37</v>
      </c>
      <c r="C13" t="s">
        <v>5</v>
      </c>
      <c r="D13">
        <v>26.75</v>
      </c>
      <c r="E13">
        <v>440</v>
      </c>
      <c r="F13">
        <f t="shared" si="0"/>
        <v>419.05</v>
      </c>
      <c r="H13">
        <f t="shared" si="1"/>
        <v>419.05</v>
      </c>
      <c r="I13">
        <f t="shared" si="2"/>
        <v>20.949999999999989</v>
      </c>
      <c r="J13">
        <f t="shared" si="3"/>
        <v>440</v>
      </c>
    </row>
    <row r="14" spans="1:10" x14ac:dyDescent="0.3">
      <c r="B14">
        <v>5624</v>
      </c>
      <c r="C14" t="s">
        <v>5</v>
      </c>
      <c r="D14">
        <v>27</v>
      </c>
      <c r="E14">
        <v>315</v>
      </c>
      <c r="F14">
        <f t="shared" si="0"/>
        <v>300</v>
      </c>
      <c r="H14">
        <f t="shared" si="1"/>
        <v>300</v>
      </c>
      <c r="I14">
        <f t="shared" si="2"/>
        <v>15</v>
      </c>
      <c r="J14">
        <f t="shared" si="3"/>
        <v>315</v>
      </c>
    </row>
    <row r="15" spans="1:10" x14ac:dyDescent="0.3">
      <c r="B15">
        <v>43</v>
      </c>
      <c r="C15" t="s">
        <v>5</v>
      </c>
      <c r="D15">
        <v>19</v>
      </c>
      <c r="E15">
        <v>315</v>
      </c>
      <c r="F15">
        <f t="shared" si="0"/>
        <v>300</v>
      </c>
      <c r="H15">
        <f t="shared" si="1"/>
        <v>300</v>
      </c>
      <c r="I15">
        <f t="shared" si="2"/>
        <v>15</v>
      </c>
      <c r="J15">
        <f t="shared" si="3"/>
        <v>315</v>
      </c>
    </row>
    <row r="16" spans="1:10" x14ac:dyDescent="0.3">
      <c r="B16">
        <v>1301</v>
      </c>
      <c r="C16" t="s">
        <v>5</v>
      </c>
      <c r="D16">
        <v>22</v>
      </c>
      <c r="E16">
        <v>525</v>
      </c>
      <c r="F16">
        <f t="shared" si="0"/>
        <v>500</v>
      </c>
      <c r="H16">
        <f t="shared" si="1"/>
        <v>500</v>
      </c>
      <c r="I16">
        <f t="shared" si="2"/>
        <v>25</v>
      </c>
      <c r="J16">
        <f t="shared" si="3"/>
        <v>525</v>
      </c>
    </row>
    <row r="17" spans="2:10" x14ac:dyDescent="0.3">
      <c r="B17">
        <v>35</v>
      </c>
      <c r="C17" t="s">
        <v>5</v>
      </c>
      <c r="D17">
        <v>27.25</v>
      </c>
      <c r="E17">
        <v>290</v>
      </c>
      <c r="F17">
        <f t="shared" si="0"/>
        <v>276.19</v>
      </c>
      <c r="H17">
        <f t="shared" si="1"/>
        <v>276.19</v>
      </c>
      <c r="I17">
        <f t="shared" si="2"/>
        <v>13.810000000000002</v>
      </c>
      <c r="J17">
        <f t="shared" si="3"/>
        <v>290</v>
      </c>
    </row>
    <row r="18" spans="2:10" x14ac:dyDescent="0.3">
      <c r="B18">
        <v>1821</v>
      </c>
      <c r="C18" t="s">
        <v>5</v>
      </c>
      <c r="D18">
        <v>23.5</v>
      </c>
      <c r="E18">
        <v>175</v>
      </c>
      <c r="F18">
        <f t="shared" si="0"/>
        <v>166.67</v>
      </c>
      <c r="H18">
        <f t="shared" si="1"/>
        <v>166.67</v>
      </c>
      <c r="I18">
        <f t="shared" si="2"/>
        <v>8.3300000000000125</v>
      </c>
      <c r="J18">
        <f t="shared" si="3"/>
        <v>175</v>
      </c>
    </row>
    <row r="19" spans="2:10" x14ac:dyDescent="0.3">
      <c r="B19">
        <v>5627</v>
      </c>
      <c r="C19" t="s">
        <v>5</v>
      </c>
      <c r="D19">
        <v>26.5</v>
      </c>
      <c r="E19">
        <v>395</v>
      </c>
      <c r="F19">
        <f t="shared" si="0"/>
        <v>376.19</v>
      </c>
      <c r="H19">
        <f t="shared" si="1"/>
        <v>376.19</v>
      </c>
      <c r="I19">
        <f t="shared" si="2"/>
        <v>18.810000000000002</v>
      </c>
      <c r="J19">
        <f t="shared" si="3"/>
        <v>395</v>
      </c>
    </row>
    <row r="20" spans="2:10" x14ac:dyDescent="0.3">
      <c r="B20">
        <v>5627</v>
      </c>
      <c r="C20" t="s">
        <v>5</v>
      </c>
      <c r="D20">
        <v>26.5</v>
      </c>
      <c r="E20">
        <v>395</v>
      </c>
      <c r="F20">
        <f t="shared" si="0"/>
        <v>376.19</v>
      </c>
      <c r="H20">
        <f t="shared" si="1"/>
        <v>376.19</v>
      </c>
      <c r="I20">
        <f t="shared" si="2"/>
        <v>18.810000000000002</v>
      </c>
      <c r="J20">
        <f t="shared" si="3"/>
        <v>395</v>
      </c>
    </row>
    <row r="21" spans="2:10" x14ac:dyDescent="0.3">
      <c r="B21">
        <v>970</v>
      </c>
      <c r="C21" t="s">
        <v>5</v>
      </c>
      <c r="D21">
        <v>22.25</v>
      </c>
      <c r="E21">
        <v>285</v>
      </c>
      <c r="F21">
        <f t="shared" si="0"/>
        <v>271.43</v>
      </c>
      <c r="H21">
        <f t="shared" si="1"/>
        <v>271.43</v>
      </c>
      <c r="I21">
        <f t="shared" si="2"/>
        <v>13.569999999999993</v>
      </c>
      <c r="J21">
        <f t="shared" si="3"/>
        <v>285</v>
      </c>
    </row>
    <row r="22" spans="2:10" x14ac:dyDescent="0.3">
      <c r="B22">
        <v>5668</v>
      </c>
      <c r="C22" t="s">
        <v>5</v>
      </c>
      <c r="D22">
        <v>36.85</v>
      </c>
      <c r="E22">
        <v>215</v>
      </c>
      <c r="F22">
        <f t="shared" si="0"/>
        <v>204.76</v>
      </c>
      <c r="H22">
        <f t="shared" si="1"/>
        <v>204.76</v>
      </c>
      <c r="I22">
        <f t="shared" si="2"/>
        <v>10.240000000000009</v>
      </c>
      <c r="J22">
        <f t="shared" si="3"/>
        <v>215</v>
      </c>
    </row>
    <row r="23" spans="2:10" x14ac:dyDescent="0.3">
      <c r="B23">
        <v>5966</v>
      </c>
      <c r="C23" t="s">
        <v>5</v>
      </c>
      <c r="D23">
        <v>10.5</v>
      </c>
      <c r="E23">
        <v>455</v>
      </c>
      <c r="F23">
        <f t="shared" si="0"/>
        <v>433.33</v>
      </c>
      <c r="H23">
        <f t="shared" si="1"/>
        <v>433.33</v>
      </c>
      <c r="I23">
        <f t="shared" si="2"/>
        <v>21.670000000000016</v>
      </c>
      <c r="J23">
        <f t="shared" si="3"/>
        <v>455</v>
      </c>
    </row>
    <row r="24" spans="2:10" x14ac:dyDescent="0.3">
      <c r="B24">
        <v>35</v>
      </c>
      <c r="C24" t="s">
        <v>5</v>
      </c>
      <c r="D24">
        <v>26</v>
      </c>
      <c r="E24">
        <v>290</v>
      </c>
      <c r="F24">
        <f t="shared" si="0"/>
        <v>276.19</v>
      </c>
      <c r="H24">
        <f t="shared" si="1"/>
        <v>276.19</v>
      </c>
      <c r="I24">
        <f t="shared" si="2"/>
        <v>13.810000000000002</v>
      </c>
      <c r="J24">
        <f t="shared" si="3"/>
        <v>290</v>
      </c>
    </row>
    <row r="25" spans="2:10" x14ac:dyDescent="0.3">
      <c r="B25">
        <v>875</v>
      </c>
      <c r="C25" t="s">
        <v>5</v>
      </c>
      <c r="D25">
        <v>20.75</v>
      </c>
      <c r="E25">
        <v>285</v>
      </c>
      <c r="F25">
        <f t="shared" si="0"/>
        <v>271.43</v>
      </c>
      <c r="H25">
        <f t="shared" si="1"/>
        <v>271.43</v>
      </c>
      <c r="I25">
        <f t="shared" si="2"/>
        <v>13.569999999999993</v>
      </c>
      <c r="J25">
        <f t="shared" si="3"/>
        <v>285</v>
      </c>
    </row>
    <row r="26" spans="2:10" x14ac:dyDescent="0.3">
      <c r="B26">
        <v>3239</v>
      </c>
      <c r="C26" t="s">
        <v>5</v>
      </c>
      <c r="D26">
        <v>50</v>
      </c>
      <c r="E26">
        <v>265</v>
      </c>
      <c r="F26">
        <f t="shared" si="0"/>
        <v>252.38</v>
      </c>
      <c r="H26">
        <f t="shared" si="1"/>
        <v>252.38</v>
      </c>
      <c r="I26">
        <f t="shared" si="2"/>
        <v>12.620000000000005</v>
      </c>
      <c r="J26">
        <f t="shared" si="3"/>
        <v>265</v>
      </c>
    </row>
    <row r="27" spans="2:10" x14ac:dyDescent="0.3">
      <c r="B27">
        <v>5626</v>
      </c>
      <c r="C27" t="s">
        <v>5</v>
      </c>
      <c r="D27">
        <v>22</v>
      </c>
      <c r="E27">
        <v>185</v>
      </c>
      <c r="F27">
        <f t="shared" si="0"/>
        <v>176.19</v>
      </c>
      <c r="H27">
        <f t="shared" si="1"/>
        <v>176.19</v>
      </c>
      <c r="I27">
        <f t="shared" si="2"/>
        <v>8.8100000000000023</v>
      </c>
      <c r="J27">
        <f t="shared" si="3"/>
        <v>185</v>
      </c>
    </row>
    <row r="28" spans="2:10" x14ac:dyDescent="0.3">
      <c r="B28">
        <v>5626</v>
      </c>
      <c r="C28" t="s">
        <v>5</v>
      </c>
      <c r="D28">
        <v>23.5</v>
      </c>
      <c r="E28">
        <v>185</v>
      </c>
      <c r="F28">
        <f t="shared" si="0"/>
        <v>176.19</v>
      </c>
      <c r="H28">
        <f t="shared" si="1"/>
        <v>176.19</v>
      </c>
      <c r="I28">
        <f t="shared" si="2"/>
        <v>8.8100000000000023</v>
      </c>
      <c r="J28">
        <f t="shared" si="3"/>
        <v>185</v>
      </c>
    </row>
    <row r="29" spans="2:10" x14ac:dyDescent="0.3">
      <c r="B29">
        <v>5626</v>
      </c>
      <c r="C29" t="s">
        <v>5</v>
      </c>
      <c r="D29">
        <v>25</v>
      </c>
      <c r="E29">
        <v>185</v>
      </c>
      <c r="F29">
        <f t="shared" si="0"/>
        <v>176.19</v>
      </c>
      <c r="H29">
        <f t="shared" si="1"/>
        <v>176.19</v>
      </c>
      <c r="I29">
        <f t="shared" si="2"/>
        <v>8.8100000000000023</v>
      </c>
      <c r="J29">
        <f t="shared" si="3"/>
        <v>185</v>
      </c>
    </row>
    <row r="30" spans="2:10" x14ac:dyDescent="0.3">
      <c r="B30">
        <v>969</v>
      </c>
      <c r="C30" t="s">
        <v>5</v>
      </c>
      <c r="D30">
        <v>18.25</v>
      </c>
      <c r="E30">
        <v>175</v>
      </c>
      <c r="F30">
        <f t="shared" si="0"/>
        <v>166.67</v>
      </c>
      <c r="H30">
        <f t="shared" si="1"/>
        <v>166.67</v>
      </c>
      <c r="I30">
        <f t="shared" si="2"/>
        <v>8.3300000000000125</v>
      </c>
      <c r="J30">
        <f t="shared" si="3"/>
        <v>175</v>
      </c>
    </row>
    <row r="31" spans="2:10" x14ac:dyDescent="0.3">
      <c r="B31">
        <v>1821</v>
      </c>
      <c r="C31" t="s">
        <v>5</v>
      </c>
      <c r="D31">
        <v>10.65</v>
      </c>
      <c r="E31">
        <v>175</v>
      </c>
      <c r="F31">
        <f t="shared" si="0"/>
        <v>166.67</v>
      </c>
      <c r="H31">
        <f t="shared" si="1"/>
        <v>166.67</v>
      </c>
      <c r="I31">
        <f t="shared" si="2"/>
        <v>8.3300000000000125</v>
      </c>
      <c r="J31">
        <f t="shared" si="3"/>
        <v>175</v>
      </c>
    </row>
    <row r="32" spans="2:10" x14ac:dyDescent="0.3">
      <c r="B32">
        <v>1831</v>
      </c>
      <c r="C32" t="s">
        <v>5</v>
      </c>
      <c r="D32">
        <v>16.75</v>
      </c>
      <c r="E32">
        <v>175</v>
      </c>
      <c r="F32">
        <f t="shared" si="0"/>
        <v>166.67</v>
      </c>
      <c r="H32">
        <f t="shared" si="1"/>
        <v>166.67</v>
      </c>
      <c r="I32">
        <f t="shared" si="2"/>
        <v>8.3300000000000125</v>
      </c>
      <c r="J32">
        <f t="shared" si="3"/>
        <v>175</v>
      </c>
    </row>
    <row r="33" spans="2:10" x14ac:dyDescent="0.3">
      <c r="B33">
        <v>1299</v>
      </c>
      <c r="C33" t="s">
        <v>5</v>
      </c>
      <c r="D33">
        <v>17.600000000000001</v>
      </c>
      <c r="E33">
        <v>125</v>
      </c>
      <c r="F33">
        <f t="shared" si="0"/>
        <v>119.05</v>
      </c>
      <c r="H33">
        <f t="shared" si="1"/>
        <v>119.05</v>
      </c>
      <c r="I33">
        <f t="shared" si="2"/>
        <v>5.9500000000000028</v>
      </c>
      <c r="J33">
        <f t="shared" si="3"/>
        <v>125</v>
      </c>
    </row>
    <row r="34" spans="2:10" x14ac:dyDescent="0.3">
      <c r="B34">
        <v>5626</v>
      </c>
      <c r="C34" t="s">
        <v>5</v>
      </c>
      <c r="D34">
        <v>25.6</v>
      </c>
      <c r="E34">
        <v>185</v>
      </c>
      <c r="F34">
        <f t="shared" si="0"/>
        <v>176.19</v>
      </c>
      <c r="H34">
        <f t="shared" si="1"/>
        <v>176.19</v>
      </c>
      <c r="I34">
        <f t="shared" si="2"/>
        <v>8.8100000000000023</v>
      </c>
      <c r="J34">
        <f t="shared" si="3"/>
        <v>185</v>
      </c>
    </row>
    <row r="35" spans="2:10" x14ac:dyDescent="0.3">
      <c r="B35">
        <v>1830</v>
      </c>
      <c r="C35" t="s">
        <v>5</v>
      </c>
      <c r="D35">
        <v>10.8</v>
      </c>
      <c r="E35">
        <v>175</v>
      </c>
      <c r="F35">
        <f t="shared" si="0"/>
        <v>166.67</v>
      </c>
      <c r="H35">
        <f t="shared" si="1"/>
        <v>166.67</v>
      </c>
      <c r="I35">
        <f t="shared" si="2"/>
        <v>8.3300000000000125</v>
      </c>
      <c r="J35">
        <f t="shared" si="3"/>
        <v>175</v>
      </c>
    </row>
    <row r="36" spans="2:10" x14ac:dyDescent="0.3">
      <c r="B36">
        <v>1833</v>
      </c>
      <c r="C36" t="s">
        <v>5</v>
      </c>
      <c r="D36">
        <v>22.15</v>
      </c>
      <c r="E36">
        <v>345</v>
      </c>
      <c r="F36">
        <f t="shared" si="0"/>
        <v>328.57</v>
      </c>
      <c r="H36">
        <f t="shared" si="1"/>
        <v>328.57</v>
      </c>
      <c r="I36">
        <f t="shared" si="2"/>
        <v>16.430000000000007</v>
      </c>
      <c r="J36">
        <f t="shared" si="3"/>
        <v>345</v>
      </c>
    </row>
    <row r="37" spans="2:10" x14ac:dyDescent="0.3">
      <c r="B37">
        <v>1300</v>
      </c>
      <c r="C37" t="s">
        <v>5</v>
      </c>
      <c r="D37">
        <v>19.25</v>
      </c>
      <c r="E37">
        <v>125</v>
      </c>
      <c r="F37">
        <f t="shared" si="0"/>
        <v>119.05</v>
      </c>
      <c r="H37">
        <f t="shared" si="1"/>
        <v>119.05</v>
      </c>
      <c r="I37">
        <f t="shared" si="2"/>
        <v>5.9500000000000028</v>
      </c>
      <c r="J37">
        <f t="shared" si="3"/>
        <v>125</v>
      </c>
    </row>
    <row r="38" spans="2:10" x14ac:dyDescent="0.3">
      <c r="B38">
        <v>1842</v>
      </c>
      <c r="C38" t="s">
        <v>5</v>
      </c>
      <c r="D38">
        <v>20.8</v>
      </c>
      <c r="E38">
        <v>865</v>
      </c>
      <c r="F38">
        <f t="shared" si="0"/>
        <v>823.81</v>
      </c>
      <c r="H38">
        <f t="shared" si="1"/>
        <v>823.81</v>
      </c>
      <c r="I38">
        <f t="shared" si="2"/>
        <v>41.190000000000055</v>
      </c>
      <c r="J38">
        <f t="shared" si="3"/>
        <v>865</v>
      </c>
    </row>
    <row r="39" spans="2:10" x14ac:dyDescent="0.3">
      <c r="B39">
        <v>5966</v>
      </c>
      <c r="C39" t="s">
        <v>5</v>
      </c>
      <c r="D39">
        <v>10.5</v>
      </c>
      <c r="E39">
        <v>455</v>
      </c>
      <c r="F39">
        <f t="shared" si="0"/>
        <v>433.33</v>
      </c>
      <c r="H39">
        <f t="shared" si="1"/>
        <v>433.33</v>
      </c>
      <c r="I39">
        <f t="shared" si="2"/>
        <v>21.670000000000016</v>
      </c>
      <c r="J39">
        <f t="shared" si="3"/>
        <v>455</v>
      </c>
    </row>
    <row r="40" spans="2:10" x14ac:dyDescent="0.3">
      <c r="B40">
        <v>474</v>
      </c>
      <c r="C40" t="s">
        <v>5</v>
      </c>
      <c r="D40">
        <v>24.5</v>
      </c>
      <c r="E40">
        <v>295</v>
      </c>
      <c r="F40">
        <f t="shared" si="0"/>
        <v>280.95</v>
      </c>
      <c r="H40">
        <f t="shared" si="1"/>
        <v>280.95</v>
      </c>
      <c r="I40">
        <f t="shared" si="2"/>
        <v>14.050000000000011</v>
      </c>
      <c r="J40">
        <f t="shared" si="3"/>
        <v>295</v>
      </c>
    </row>
    <row r="41" spans="2:10" x14ac:dyDescent="0.3">
      <c r="B41">
        <v>1839</v>
      </c>
      <c r="C41" t="s">
        <v>5</v>
      </c>
      <c r="D41">
        <v>13.65</v>
      </c>
      <c r="E41">
        <v>165</v>
      </c>
      <c r="F41">
        <f t="shared" si="0"/>
        <v>157.13999999999999</v>
      </c>
      <c r="H41">
        <f t="shared" si="1"/>
        <v>157.13999999999999</v>
      </c>
      <c r="I41">
        <f t="shared" si="2"/>
        <v>7.8600000000000136</v>
      </c>
      <c r="J41">
        <f t="shared" si="3"/>
        <v>165</v>
      </c>
    </row>
    <row r="42" spans="2:10" x14ac:dyDescent="0.3">
      <c r="B42">
        <v>1821</v>
      </c>
      <c r="C42" t="s">
        <v>5</v>
      </c>
      <c r="D42">
        <v>19</v>
      </c>
      <c r="E42">
        <v>175</v>
      </c>
      <c r="F42">
        <f t="shared" si="0"/>
        <v>166.67</v>
      </c>
      <c r="H42">
        <f t="shared" si="1"/>
        <v>166.67</v>
      </c>
      <c r="I42">
        <f t="shared" si="2"/>
        <v>8.3300000000000125</v>
      </c>
      <c r="J42">
        <f t="shared" si="3"/>
        <v>175</v>
      </c>
    </row>
    <row r="43" spans="2:10" x14ac:dyDescent="0.3">
      <c r="B43">
        <v>873</v>
      </c>
      <c r="C43" t="s">
        <v>5</v>
      </c>
      <c r="D43">
        <v>5.25</v>
      </c>
      <c r="E43">
        <v>325</v>
      </c>
      <c r="F43">
        <f t="shared" si="0"/>
        <v>309.52</v>
      </c>
      <c r="H43">
        <f t="shared" si="1"/>
        <v>309.52</v>
      </c>
      <c r="I43">
        <f t="shared" si="2"/>
        <v>15.480000000000018</v>
      </c>
      <c r="J43">
        <f t="shared" si="3"/>
        <v>325</v>
      </c>
    </row>
    <row r="44" spans="2:10" x14ac:dyDescent="0.3">
      <c r="B44">
        <v>5219</v>
      </c>
      <c r="C44" t="s">
        <v>5</v>
      </c>
      <c r="D44">
        <v>21.4</v>
      </c>
      <c r="E44">
        <v>375</v>
      </c>
      <c r="F44">
        <f t="shared" si="0"/>
        <v>357.14</v>
      </c>
      <c r="H44">
        <f t="shared" si="1"/>
        <v>357.14</v>
      </c>
      <c r="I44">
        <f t="shared" si="2"/>
        <v>17.860000000000014</v>
      </c>
      <c r="J44">
        <f t="shared" si="3"/>
        <v>375</v>
      </c>
    </row>
    <row r="45" spans="2:10" x14ac:dyDescent="0.3">
      <c r="B45">
        <v>1761</v>
      </c>
      <c r="C45" t="s">
        <v>5</v>
      </c>
      <c r="D45">
        <v>4</v>
      </c>
      <c r="E45">
        <v>325</v>
      </c>
      <c r="F45">
        <f t="shared" si="0"/>
        <v>309.52</v>
      </c>
      <c r="H45">
        <f t="shared" si="1"/>
        <v>309.52</v>
      </c>
      <c r="I45">
        <f t="shared" si="2"/>
        <v>15.480000000000018</v>
      </c>
      <c r="J45">
        <f t="shared" si="3"/>
        <v>325</v>
      </c>
    </row>
    <row r="46" spans="2:10" x14ac:dyDescent="0.3">
      <c r="B46">
        <v>873</v>
      </c>
      <c r="C46" t="s">
        <v>5</v>
      </c>
      <c r="D46">
        <v>4.2</v>
      </c>
      <c r="E46">
        <v>325</v>
      </c>
      <c r="F46">
        <f t="shared" si="0"/>
        <v>309.52</v>
      </c>
      <c r="H46">
        <f t="shared" si="1"/>
        <v>309.52</v>
      </c>
      <c r="I46">
        <f t="shared" si="2"/>
        <v>15.480000000000018</v>
      </c>
      <c r="J46">
        <f t="shared" si="3"/>
        <v>325</v>
      </c>
    </row>
    <row r="47" spans="2:10" x14ac:dyDescent="0.3">
      <c r="B47">
        <v>1821</v>
      </c>
      <c r="C47" t="s">
        <v>5</v>
      </c>
      <c r="D47">
        <v>10</v>
      </c>
      <c r="E47">
        <v>175</v>
      </c>
      <c r="F47">
        <f t="shared" si="0"/>
        <v>166.67</v>
      </c>
      <c r="H47">
        <f t="shared" si="1"/>
        <v>166.67</v>
      </c>
      <c r="I47">
        <f t="shared" si="2"/>
        <v>8.3300000000000125</v>
      </c>
      <c r="J47">
        <f t="shared" si="3"/>
        <v>175</v>
      </c>
    </row>
    <row r="48" spans="2:10" x14ac:dyDescent="0.3">
      <c r="B48">
        <v>34</v>
      </c>
      <c r="C48" t="s">
        <v>5</v>
      </c>
      <c r="D48">
        <v>4.9000000000000004</v>
      </c>
      <c r="E48">
        <v>275</v>
      </c>
      <c r="F48">
        <f t="shared" si="0"/>
        <v>261.89999999999998</v>
      </c>
      <c r="H48">
        <f t="shared" si="1"/>
        <v>261.89999999999998</v>
      </c>
      <c r="I48">
        <f t="shared" si="2"/>
        <v>13.100000000000023</v>
      </c>
      <c r="J48">
        <f t="shared" si="3"/>
        <v>275</v>
      </c>
    </row>
    <row r="49" spans="2:10" x14ac:dyDescent="0.3">
      <c r="B49">
        <v>1829</v>
      </c>
      <c r="C49" t="s">
        <v>5</v>
      </c>
      <c r="D49">
        <v>15</v>
      </c>
      <c r="E49">
        <v>165</v>
      </c>
      <c r="F49">
        <f t="shared" si="0"/>
        <v>157.13999999999999</v>
      </c>
      <c r="H49">
        <f t="shared" si="1"/>
        <v>157.13999999999999</v>
      </c>
      <c r="I49">
        <f t="shared" si="2"/>
        <v>7.8600000000000136</v>
      </c>
      <c r="J49">
        <f t="shared" si="3"/>
        <v>165</v>
      </c>
    </row>
    <row r="50" spans="2:10" x14ac:dyDescent="0.3">
      <c r="B50">
        <v>1821</v>
      </c>
      <c r="C50" t="s">
        <v>5</v>
      </c>
      <c r="D50">
        <v>13.45</v>
      </c>
      <c r="E50">
        <v>175</v>
      </c>
      <c r="F50">
        <f t="shared" si="0"/>
        <v>166.67</v>
      </c>
      <c r="H50">
        <f t="shared" si="1"/>
        <v>166.67</v>
      </c>
      <c r="I50">
        <f t="shared" si="2"/>
        <v>8.3300000000000125</v>
      </c>
      <c r="J50">
        <f t="shared" si="3"/>
        <v>175</v>
      </c>
    </row>
    <row r="51" spans="2:10" x14ac:dyDescent="0.3">
      <c r="B51">
        <v>3342</v>
      </c>
      <c r="C51" t="s">
        <v>5</v>
      </c>
      <c r="D51">
        <v>14.7</v>
      </c>
      <c r="E51">
        <v>210</v>
      </c>
      <c r="F51">
        <f t="shared" si="0"/>
        <v>200</v>
      </c>
      <c r="H51">
        <f t="shared" si="1"/>
        <v>200</v>
      </c>
      <c r="I51">
        <f t="shared" si="2"/>
        <v>10</v>
      </c>
      <c r="J51">
        <f t="shared" si="3"/>
        <v>210</v>
      </c>
    </row>
    <row r="52" spans="2:10" x14ac:dyDescent="0.3">
      <c r="B52">
        <v>2808</v>
      </c>
      <c r="C52" t="s">
        <v>5</v>
      </c>
      <c r="D52">
        <v>54.5</v>
      </c>
      <c r="E52">
        <v>370</v>
      </c>
      <c r="F52">
        <f t="shared" si="0"/>
        <v>352.38</v>
      </c>
      <c r="H52">
        <f t="shared" si="1"/>
        <v>352.38</v>
      </c>
      <c r="I52">
        <f t="shared" si="2"/>
        <v>17.620000000000005</v>
      </c>
      <c r="J52">
        <f t="shared" si="3"/>
        <v>370</v>
      </c>
    </row>
    <row r="53" spans="2:10" x14ac:dyDescent="0.3">
      <c r="B53">
        <v>2936</v>
      </c>
      <c r="C53" t="s">
        <v>5</v>
      </c>
      <c r="D53">
        <v>32.5</v>
      </c>
      <c r="E53">
        <v>825</v>
      </c>
      <c r="F53">
        <f t="shared" si="0"/>
        <v>785.71</v>
      </c>
      <c r="H53">
        <f t="shared" si="1"/>
        <v>785.71</v>
      </c>
      <c r="I53">
        <f t="shared" si="2"/>
        <v>39.289999999999964</v>
      </c>
      <c r="J53">
        <f t="shared" si="3"/>
        <v>825</v>
      </c>
    </row>
    <row r="54" spans="2:10" x14ac:dyDescent="0.3">
      <c r="B54">
        <v>2931</v>
      </c>
      <c r="C54" t="s">
        <v>5</v>
      </c>
      <c r="D54">
        <v>30.5</v>
      </c>
      <c r="E54">
        <v>825</v>
      </c>
      <c r="F54">
        <f t="shared" si="0"/>
        <v>785.71</v>
      </c>
      <c r="H54">
        <f t="shared" si="1"/>
        <v>785.71</v>
      </c>
      <c r="I54">
        <f t="shared" si="2"/>
        <v>39.289999999999964</v>
      </c>
      <c r="J54">
        <f t="shared" si="3"/>
        <v>825</v>
      </c>
    </row>
    <row r="55" spans="2:10" x14ac:dyDescent="0.3">
      <c r="B55">
        <v>3241</v>
      </c>
      <c r="C55" t="s">
        <v>5</v>
      </c>
      <c r="D55">
        <v>21</v>
      </c>
      <c r="E55">
        <v>735</v>
      </c>
      <c r="F55">
        <f t="shared" si="0"/>
        <v>700</v>
      </c>
      <c r="H55">
        <f t="shared" si="1"/>
        <v>700</v>
      </c>
      <c r="I55">
        <f t="shared" si="2"/>
        <v>35</v>
      </c>
      <c r="J55">
        <f t="shared" si="3"/>
        <v>735</v>
      </c>
    </row>
    <row r="56" spans="2:10" x14ac:dyDescent="0.3">
      <c r="B56">
        <v>2775</v>
      </c>
      <c r="C56" t="s">
        <v>5</v>
      </c>
      <c r="D56">
        <v>20.45</v>
      </c>
      <c r="E56">
        <v>865</v>
      </c>
      <c r="F56">
        <f t="shared" si="0"/>
        <v>823.81</v>
      </c>
      <c r="H56">
        <f t="shared" si="1"/>
        <v>823.81</v>
      </c>
      <c r="I56">
        <f t="shared" si="2"/>
        <v>41.190000000000055</v>
      </c>
      <c r="J56">
        <f t="shared" si="3"/>
        <v>865</v>
      </c>
    </row>
    <row r="57" spans="2:10" x14ac:dyDescent="0.3">
      <c r="B57">
        <v>2772</v>
      </c>
      <c r="C57" t="s">
        <v>5</v>
      </c>
      <c r="D57">
        <v>20</v>
      </c>
      <c r="E57">
        <v>565</v>
      </c>
      <c r="F57">
        <f t="shared" si="0"/>
        <v>538.1</v>
      </c>
      <c r="H57">
        <f t="shared" si="1"/>
        <v>538.1</v>
      </c>
      <c r="I57">
        <f t="shared" si="2"/>
        <v>26.899999999999977</v>
      </c>
      <c r="J57">
        <f t="shared" si="3"/>
        <v>565</v>
      </c>
    </row>
    <row r="58" spans="2:10" x14ac:dyDescent="0.3">
      <c r="B58">
        <v>3144</v>
      </c>
      <c r="C58" t="s">
        <v>5</v>
      </c>
      <c r="D58">
        <v>12.4</v>
      </c>
      <c r="E58">
        <v>865</v>
      </c>
      <c r="F58">
        <f t="shared" si="0"/>
        <v>823.81</v>
      </c>
      <c r="H58">
        <f t="shared" si="1"/>
        <v>823.81</v>
      </c>
      <c r="I58">
        <f t="shared" si="2"/>
        <v>41.190000000000055</v>
      </c>
      <c r="J58">
        <f t="shared" si="3"/>
        <v>865</v>
      </c>
    </row>
    <row r="59" spans="2:10" x14ac:dyDescent="0.3">
      <c r="B59">
        <v>3386</v>
      </c>
      <c r="C59" t="s">
        <v>5</v>
      </c>
      <c r="D59">
        <v>15</v>
      </c>
      <c r="E59">
        <v>585</v>
      </c>
      <c r="F59">
        <f t="shared" si="0"/>
        <v>557.14</v>
      </c>
      <c r="H59">
        <f t="shared" si="1"/>
        <v>557.14</v>
      </c>
      <c r="I59">
        <f t="shared" si="2"/>
        <v>27.860000000000014</v>
      </c>
      <c r="J59">
        <f t="shared" si="3"/>
        <v>585</v>
      </c>
    </row>
    <row r="60" spans="2:10" x14ac:dyDescent="0.3">
      <c r="B60">
        <v>3255</v>
      </c>
      <c r="C60" t="s">
        <v>5</v>
      </c>
      <c r="D60">
        <v>16</v>
      </c>
      <c r="E60">
        <v>580</v>
      </c>
      <c r="F60">
        <f t="shared" si="0"/>
        <v>552.38</v>
      </c>
      <c r="H60">
        <f t="shared" si="1"/>
        <v>552.38</v>
      </c>
      <c r="I60">
        <f t="shared" si="2"/>
        <v>27.620000000000005</v>
      </c>
      <c r="J60">
        <f t="shared" si="3"/>
        <v>580</v>
      </c>
    </row>
    <row r="61" spans="2:10" x14ac:dyDescent="0.3">
      <c r="B61">
        <v>3247</v>
      </c>
      <c r="C61" t="s">
        <v>5</v>
      </c>
      <c r="D61">
        <v>20.100000000000001</v>
      </c>
      <c r="E61">
        <v>795</v>
      </c>
      <c r="F61">
        <f t="shared" si="0"/>
        <v>757.14</v>
      </c>
      <c r="H61">
        <f t="shared" si="1"/>
        <v>757.14</v>
      </c>
      <c r="I61">
        <f t="shared" si="2"/>
        <v>37.860000000000014</v>
      </c>
      <c r="J61">
        <f t="shared" si="3"/>
        <v>795</v>
      </c>
    </row>
    <row r="62" spans="2:10" x14ac:dyDescent="0.3">
      <c r="B62">
        <v>3234</v>
      </c>
      <c r="C62" t="s">
        <v>5</v>
      </c>
      <c r="D62">
        <v>49.2</v>
      </c>
      <c r="E62">
        <v>275</v>
      </c>
      <c r="F62">
        <f t="shared" si="0"/>
        <v>261.89999999999998</v>
      </c>
      <c r="H62">
        <f t="shared" si="1"/>
        <v>261.89999999999998</v>
      </c>
      <c r="I62">
        <f t="shared" si="2"/>
        <v>13.100000000000023</v>
      </c>
      <c r="J62">
        <f t="shared" si="3"/>
        <v>275</v>
      </c>
    </row>
    <row r="63" spans="2:10" x14ac:dyDescent="0.3">
      <c r="B63">
        <v>3236</v>
      </c>
      <c r="C63" t="s">
        <v>5</v>
      </c>
      <c r="D63">
        <v>37.5</v>
      </c>
      <c r="E63">
        <v>250</v>
      </c>
      <c r="F63">
        <f t="shared" si="0"/>
        <v>238.1</v>
      </c>
      <c r="H63">
        <f t="shared" si="1"/>
        <v>238.1</v>
      </c>
      <c r="I63">
        <f t="shared" si="2"/>
        <v>11.900000000000006</v>
      </c>
      <c r="J63">
        <f t="shared" si="3"/>
        <v>250</v>
      </c>
    </row>
    <row r="64" spans="2:10" x14ac:dyDescent="0.3">
      <c r="B64">
        <v>3244</v>
      </c>
      <c r="C64" t="s">
        <v>5</v>
      </c>
      <c r="D64">
        <v>10</v>
      </c>
      <c r="E64">
        <v>645</v>
      </c>
      <c r="F64">
        <f t="shared" si="0"/>
        <v>614.29</v>
      </c>
      <c r="H64">
        <f t="shared" si="1"/>
        <v>614.29</v>
      </c>
      <c r="I64">
        <f t="shared" si="2"/>
        <v>30.710000000000036</v>
      </c>
      <c r="J64">
        <f t="shared" si="3"/>
        <v>645</v>
      </c>
    </row>
    <row r="65" spans="2:10" x14ac:dyDescent="0.3">
      <c r="B65">
        <v>3238</v>
      </c>
      <c r="C65" t="s">
        <v>5</v>
      </c>
      <c r="D65">
        <v>30</v>
      </c>
      <c r="E65">
        <v>445</v>
      </c>
      <c r="F65">
        <f t="shared" si="0"/>
        <v>423.81</v>
      </c>
      <c r="H65">
        <f t="shared" si="1"/>
        <v>423.81</v>
      </c>
      <c r="I65">
        <f t="shared" si="2"/>
        <v>21.189999999999998</v>
      </c>
      <c r="J65">
        <f t="shared" si="3"/>
        <v>445</v>
      </c>
    </row>
    <row r="66" spans="2:10" x14ac:dyDescent="0.3">
      <c r="B66">
        <v>3243</v>
      </c>
      <c r="C66" t="s">
        <v>5</v>
      </c>
      <c r="D66">
        <v>20.8</v>
      </c>
      <c r="E66">
        <v>675</v>
      </c>
      <c r="F66">
        <f t="shared" si="0"/>
        <v>642.86</v>
      </c>
      <c r="H66">
        <f t="shared" si="1"/>
        <v>642.86</v>
      </c>
      <c r="I66">
        <f t="shared" si="2"/>
        <v>32.139999999999986</v>
      </c>
      <c r="J66">
        <f t="shared" si="3"/>
        <v>675</v>
      </c>
    </row>
    <row r="67" spans="2:10" x14ac:dyDescent="0.3">
      <c r="B67">
        <v>1793</v>
      </c>
      <c r="C67" t="s">
        <v>5</v>
      </c>
      <c r="D67">
        <v>22.5</v>
      </c>
      <c r="E67">
        <v>195</v>
      </c>
      <c r="F67">
        <f t="shared" si="0"/>
        <v>185.71</v>
      </c>
      <c r="H67">
        <f t="shared" si="1"/>
        <v>185.71</v>
      </c>
      <c r="I67">
        <f t="shared" si="2"/>
        <v>9.289999999999992</v>
      </c>
      <c r="J67">
        <f t="shared" si="3"/>
        <v>195</v>
      </c>
    </row>
    <row r="68" spans="2:10" x14ac:dyDescent="0.3">
      <c r="B68">
        <v>1458</v>
      </c>
      <c r="C68" t="s">
        <v>5</v>
      </c>
      <c r="D68">
        <v>50</v>
      </c>
      <c r="E68">
        <v>220</v>
      </c>
      <c r="F68">
        <f t="shared" si="0"/>
        <v>209.52</v>
      </c>
      <c r="H68">
        <f t="shared" si="1"/>
        <v>209.52</v>
      </c>
      <c r="I68">
        <f t="shared" si="2"/>
        <v>10.47999999999999</v>
      </c>
      <c r="J68">
        <f t="shared" si="3"/>
        <v>220</v>
      </c>
    </row>
    <row r="69" spans="2:10" x14ac:dyDescent="0.3">
      <c r="B69">
        <v>3238</v>
      </c>
      <c r="C69" t="s">
        <v>5</v>
      </c>
      <c r="D69">
        <v>21.2</v>
      </c>
      <c r="E69">
        <v>445</v>
      </c>
      <c r="F69">
        <f t="shared" ref="F69:F96" si="4">ROUND(IF(E69&gt;2500, E69/1.18, E69/1.05),2)</f>
        <v>423.81</v>
      </c>
      <c r="H69">
        <f t="shared" ref="H69:H96" si="5">ROUND(IF(E69&gt;2500, E69/1.18, E69/1.05),2)</f>
        <v>423.81</v>
      </c>
      <c r="I69">
        <f t="shared" ref="I69:I96" si="6">E69-F69</f>
        <v>21.189999999999998</v>
      </c>
      <c r="J69">
        <f t="shared" ref="J69:J96" si="7">SUM(H69:I69)</f>
        <v>445</v>
      </c>
    </row>
    <row r="70" spans="2:10" x14ac:dyDescent="0.3">
      <c r="B70">
        <v>3234</v>
      </c>
      <c r="C70" t="s">
        <v>5</v>
      </c>
      <c r="D70">
        <v>29</v>
      </c>
      <c r="E70">
        <v>275</v>
      </c>
      <c r="F70">
        <f t="shared" si="4"/>
        <v>261.89999999999998</v>
      </c>
      <c r="H70">
        <f t="shared" si="5"/>
        <v>261.89999999999998</v>
      </c>
      <c r="I70">
        <f t="shared" si="6"/>
        <v>13.100000000000023</v>
      </c>
      <c r="J70">
        <f t="shared" si="7"/>
        <v>275</v>
      </c>
    </row>
    <row r="71" spans="2:10" x14ac:dyDescent="0.3">
      <c r="B71">
        <v>1837</v>
      </c>
      <c r="C71" t="s">
        <v>5</v>
      </c>
      <c r="D71">
        <v>23</v>
      </c>
      <c r="E71">
        <v>70</v>
      </c>
      <c r="F71">
        <f t="shared" si="4"/>
        <v>66.67</v>
      </c>
      <c r="H71">
        <f t="shared" si="5"/>
        <v>66.67</v>
      </c>
      <c r="I71">
        <f t="shared" si="6"/>
        <v>3.3299999999999983</v>
      </c>
      <c r="J71">
        <f t="shared" si="7"/>
        <v>70</v>
      </c>
    </row>
    <row r="72" spans="2:10" x14ac:dyDescent="0.3">
      <c r="B72">
        <v>1793</v>
      </c>
      <c r="C72" t="s">
        <v>5</v>
      </c>
      <c r="D72">
        <v>31</v>
      </c>
      <c r="E72">
        <v>195</v>
      </c>
      <c r="F72">
        <f t="shared" si="4"/>
        <v>185.71</v>
      </c>
      <c r="H72">
        <f t="shared" si="5"/>
        <v>185.71</v>
      </c>
      <c r="I72">
        <f t="shared" si="6"/>
        <v>9.289999999999992</v>
      </c>
      <c r="J72">
        <f t="shared" si="7"/>
        <v>195</v>
      </c>
    </row>
    <row r="73" spans="2:10" x14ac:dyDescent="0.3">
      <c r="B73" s="1">
        <v>3161</v>
      </c>
      <c r="C73" t="s">
        <v>5</v>
      </c>
      <c r="D73" s="1">
        <v>31</v>
      </c>
      <c r="E73" s="1">
        <v>35</v>
      </c>
      <c r="F73">
        <f t="shared" si="4"/>
        <v>33.33</v>
      </c>
      <c r="H73">
        <f t="shared" si="5"/>
        <v>33.33</v>
      </c>
      <c r="I73">
        <f t="shared" si="6"/>
        <v>1.6700000000000017</v>
      </c>
      <c r="J73">
        <f t="shared" si="7"/>
        <v>35</v>
      </c>
    </row>
    <row r="74" spans="2:10" x14ac:dyDescent="0.3">
      <c r="B74">
        <v>2774</v>
      </c>
      <c r="C74" t="s">
        <v>5</v>
      </c>
      <c r="D74">
        <v>17.7</v>
      </c>
      <c r="E74">
        <v>775</v>
      </c>
      <c r="F74">
        <f t="shared" si="4"/>
        <v>738.1</v>
      </c>
      <c r="H74">
        <f t="shared" si="5"/>
        <v>738.1</v>
      </c>
      <c r="I74">
        <f t="shared" si="6"/>
        <v>36.899999999999977</v>
      </c>
      <c r="J74">
        <f t="shared" si="7"/>
        <v>775</v>
      </c>
    </row>
    <row r="75" spans="2:10" x14ac:dyDescent="0.3">
      <c r="B75">
        <v>1132</v>
      </c>
      <c r="C75" t="s">
        <v>5</v>
      </c>
      <c r="D75">
        <v>50</v>
      </c>
      <c r="E75">
        <v>225</v>
      </c>
      <c r="F75">
        <f t="shared" si="4"/>
        <v>214.29</v>
      </c>
      <c r="H75">
        <f t="shared" si="5"/>
        <v>214.29</v>
      </c>
      <c r="I75">
        <f t="shared" si="6"/>
        <v>10.710000000000008</v>
      </c>
      <c r="J75">
        <f t="shared" si="7"/>
        <v>225</v>
      </c>
    </row>
    <row r="76" spans="2:10" x14ac:dyDescent="0.3">
      <c r="B76">
        <v>2807</v>
      </c>
      <c r="C76" t="s">
        <v>5</v>
      </c>
      <c r="D76">
        <v>33.65</v>
      </c>
      <c r="E76">
        <v>290</v>
      </c>
      <c r="F76">
        <f t="shared" si="4"/>
        <v>276.19</v>
      </c>
      <c r="H76">
        <f t="shared" si="5"/>
        <v>276.19</v>
      </c>
      <c r="I76">
        <f t="shared" si="6"/>
        <v>13.810000000000002</v>
      </c>
      <c r="J76">
        <f t="shared" si="7"/>
        <v>290</v>
      </c>
    </row>
    <row r="77" spans="2:10" x14ac:dyDescent="0.3">
      <c r="B77">
        <v>3235</v>
      </c>
      <c r="C77" t="s">
        <v>5</v>
      </c>
      <c r="D77">
        <v>50</v>
      </c>
      <c r="E77">
        <v>275</v>
      </c>
      <c r="F77">
        <f t="shared" si="4"/>
        <v>261.89999999999998</v>
      </c>
      <c r="H77">
        <f t="shared" si="5"/>
        <v>261.89999999999998</v>
      </c>
      <c r="I77">
        <f t="shared" si="6"/>
        <v>13.100000000000023</v>
      </c>
      <c r="J77">
        <f t="shared" si="7"/>
        <v>275</v>
      </c>
    </row>
    <row r="78" spans="2:10" x14ac:dyDescent="0.3">
      <c r="B78">
        <v>1836</v>
      </c>
      <c r="C78" t="s">
        <v>5</v>
      </c>
      <c r="D78">
        <v>25</v>
      </c>
      <c r="E78">
        <v>285</v>
      </c>
      <c r="F78">
        <f t="shared" si="4"/>
        <v>271.43</v>
      </c>
      <c r="H78">
        <f t="shared" si="5"/>
        <v>271.43</v>
      </c>
      <c r="I78">
        <f t="shared" si="6"/>
        <v>13.569999999999993</v>
      </c>
      <c r="J78">
        <f t="shared" si="7"/>
        <v>285</v>
      </c>
    </row>
    <row r="79" spans="2:10" x14ac:dyDescent="0.3">
      <c r="B79">
        <v>2771</v>
      </c>
      <c r="C79" t="s">
        <v>5</v>
      </c>
      <c r="D79">
        <v>14.75</v>
      </c>
      <c r="E79">
        <v>475</v>
      </c>
      <c r="F79">
        <f t="shared" si="4"/>
        <v>452.38</v>
      </c>
      <c r="H79">
        <f t="shared" si="5"/>
        <v>452.38</v>
      </c>
      <c r="I79">
        <f t="shared" si="6"/>
        <v>22.620000000000005</v>
      </c>
      <c r="J79">
        <f t="shared" si="7"/>
        <v>475</v>
      </c>
    </row>
    <row r="80" spans="2:10" x14ac:dyDescent="0.3">
      <c r="B80">
        <v>1131</v>
      </c>
      <c r="C80" t="s">
        <v>5</v>
      </c>
      <c r="D80">
        <v>30.15</v>
      </c>
      <c r="E80">
        <v>225</v>
      </c>
      <c r="F80">
        <f t="shared" si="4"/>
        <v>214.29</v>
      </c>
      <c r="H80">
        <f t="shared" si="5"/>
        <v>214.29</v>
      </c>
      <c r="I80">
        <f t="shared" si="6"/>
        <v>10.710000000000008</v>
      </c>
      <c r="J80">
        <f t="shared" si="7"/>
        <v>225</v>
      </c>
    </row>
    <row r="81" spans="2:10" x14ac:dyDescent="0.3">
      <c r="B81">
        <v>1131</v>
      </c>
      <c r="C81" t="s">
        <v>5</v>
      </c>
      <c r="D81">
        <v>50</v>
      </c>
      <c r="E81">
        <v>225</v>
      </c>
      <c r="F81">
        <f t="shared" si="4"/>
        <v>214.29</v>
      </c>
      <c r="H81">
        <f t="shared" si="5"/>
        <v>214.29</v>
      </c>
      <c r="I81">
        <f t="shared" si="6"/>
        <v>10.710000000000008</v>
      </c>
      <c r="J81">
        <f t="shared" si="7"/>
        <v>225</v>
      </c>
    </row>
    <row r="82" spans="2:10" x14ac:dyDescent="0.3">
      <c r="B82">
        <v>3240</v>
      </c>
      <c r="C82" t="s">
        <v>5</v>
      </c>
      <c r="D82">
        <v>21</v>
      </c>
      <c r="E82">
        <v>765</v>
      </c>
      <c r="F82">
        <f t="shared" si="4"/>
        <v>728.57</v>
      </c>
      <c r="H82">
        <f t="shared" si="5"/>
        <v>728.57</v>
      </c>
      <c r="I82">
        <f t="shared" si="6"/>
        <v>36.42999999999995</v>
      </c>
      <c r="J82">
        <f t="shared" si="7"/>
        <v>765</v>
      </c>
    </row>
    <row r="83" spans="2:10" x14ac:dyDescent="0.3">
      <c r="B83">
        <v>3242</v>
      </c>
      <c r="C83" t="s">
        <v>5</v>
      </c>
      <c r="D83">
        <v>20</v>
      </c>
      <c r="E83">
        <v>845</v>
      </c>
      <c r="F83">
        <f t="shared" si="4"/>
        <v>804.76</v>
      </c>
      <c r="H83">
        <f t="shared" si="5"/>
        <v>804.76</v>
      </c>
      <c r="I83">
        <f t="shared" si="6"/>
        <v>40.240000000000009</v>
      </c>
      <c r="J83">
        <f t="shared" si="7"/>
        <v>845</v>
      </c>
    </row>
    <row r="84" spans="2:10" x14ac:dyDescent="0.3">
      <c r="B84">
        <v>3242</v>
      </c>
      <c r="C84" t="s">
        <v>5</v>
      </c>
      <c r="D84">
        <v>21</v>
      </c>
      <c r="E84">
        <v>845</v>
      </c>
      <c r="F84">
        <f t="shared" si="4"/>
        <v>804.76</v>
      </c>
      <c r="H84">
        <f t="shared" si="5"/>
        <v>804.76</v>
      </c>
      <c r="I84">
        <f t="shared" si="6"/>
        <v>40.240000000000009</v>
      </c>
      <c r="J84">
        <f t="shared" si="7"/>
        <v>845</v>
      </c>
    </row>
    <row r="85" spans="2:10" x14ac:dyDescent="0.3">
      <c r="B85">
        <v>174</v>
      </c>
      <c r="C85" t="s">
        <v>5</v>
      </c>
      <c r="D85">
        <v>36</v>
      </c>
      <c r="E85">
        <v>225</v>
      </c>
      <c r="F85">
        <f t="shared" si="4"/>
        <v>214.29</v>
      </c>
      <c r="H85">
        <f t="shared" si="5"/>
        <v>214.29</v>
      </c>
      <c r="I85">
        <f t="shared" si="6"/>
        <v>10.710000000000008</v>
      </c>
      <c r="J85">
        <f t="shared" si="7"/>
        <v>225</v>
      </c>
    </row>
    <row r="86" spans="2:10" x14ac:dyDescent="0.3">
      <c r="B86">
        <v>2935</v>
      </c>
      <c r="C86" t="s">
        <v>5</v>
      </c>
      <c r="D86">
        <v>20</v>
      </c>
      <c r="E86">
        <v>1050</v>
      </c>
      <c r="F86">
        <f t="shared" si="4"/>
        <v>1000</v>
      </c>
      <c r="H86">
        <f t="shared" si="5"/>
        <v>1000</v>
      </c>
      <c r="I86">
        <f t="shared" si="6"/>
        <v>50</v>
      </c>
      <c r="J86">
        <f t="shared" si="7"/>
        <v>1050</v>
      </c>
    </row>
    <row r="87" spans="2:10" x14ac:dyDescent="0.3">
      <c r="B87">
        <v>3253</v>
      </c>
      <c r="C87" t="s">
        <v>5</v>
      </c>
      <c r="D87">
        <v>20</v>
      </c>
      <c r="E87">
        <v>675</v>
      </c>
      <c r="F87">
        <f t="shared" si="4"/>
        <v>642.86</v>
      </c>
      <c r="H87">
        <f t="shared" si="5"/>
        <v>642.86</v>
      </c>
      <c r="I87">
        <f t="shared" si="6"/>
        <v>32.139999999999986</v>
      </c>
      <c r="J87">
        <f t="shared" si="7"/>
        <v>675</v>
      </c>
    </row>
    <row r="88" spans="2:10" x14ac:dyDescent="0.3">
      <c r="B88">
        <v>3340</v>
      </c>
      <c r="C88" t="s">
        <v>5</v>
      </c>
      <c r="D88">
        <v>19.5</v>
      </c>
      <c r="E88">
        <v>480</v>
      </c>
      <c r="F88">
        <f t="shared" si="4"/>
        <v>457.14</v>
      </c>
      <c r="H88">
        <f t="shared" si="5"/>
        <v>457.14</v>
      </c>
      <c r="I88">
        <f t="shared" si="6"/>
        <v>22.860000000000014</v>
      </c>
      <c r="J88">
        <f t="shared" si="7"/>
        <v>480</v>
      </c>
    </row>
    <row r="89" spans="2:10" x14ac:dyDescent="0.3">
      <c r="B89">
        <v>8108</v>
      </c>
      <c r="C89" t="s">
        <v>5</v>
      </c>
      <c r="D89">
        <v>45.25</v>
      </c>
      <c r="E89">
        <v>155</v>
      </c>
      <c r="F89">
        <f t="shared" si="4"/>
        <v>147.62</v>
      </c>
      <c r="H89">
        <f t="shared" si="5"/>
        <v>147.62</v>
      </c>
      <c r="I89">
        <f t="shared" si="6"/>
        <v>7.3799999999999955</v>
      </c>
      <c r="J89">
        <f t="shared" si="7"/>
        <v>155</v>
      </c>
    </row>
    <row r="90" spans="2:10" x14ac:dyDescent="0.3">
      <c r="B90">
        <v>1453</v>
      </c>
      <c r="C90" t="s">
        <v>5</v>
      </c>
      <c r="D90">
        <v>45</v>
      </c>
      <c r="E90">
        <v>165</v>
      </c>
      <c r="F90">
        <f t="shared" si="4"/>
        <v>157.13999999999999</v>
      </c>
      <c r="H90">
        <f t="shared" si="5"/>
        <v>157.13999999999999</v>
      </c>
      <c r="I90">
        <f t="shared" si="6"/>
        <v>7.8600000000000136</v>
      </c>
      <c r="J90">
        <f t="shared" si="7"/>
        <v>165</v>
      </c>
    </row>
    <row r="91" spans="2:10" x14ac:dyDescent="0.3">
      <c r="B91">
        <v>4377</v>
      </c>
      <c r="C91" t="s">
        <v>5</v>
      </c>
      <c r="D91">
        <v>31</v>
      </c>
      <c r="E91">
        <v>275</v>
      </c>
      <c r="F91">
        <f t="shared" si="4"/>
        <v>261.89999999999998</v>
      </c>
      <c r="H91">
        <f t="shared" si="5"/>
        <v>261.89999999999998</v>
      </c>
      <c r="I91">
        <f t="shared" si="6"/>
        <v>13.100000000000023</v>
      </c>
      <c r="J91">
        <f t="shared" si="7"/>
        <v>275</v>
      </c>
    </row>
    <row r="92" spans="2:10" x14ac:dyDescent="0.3">
      <c r="B92">
        <v>1460</v>
      </c>
      <c r="C92" t="s">
        <v>5</v>
      </c>
      <c r="D92">
        <v>50</v>
      </c>
      <c r="E92">
        <v>285</v>
      </c>
      <c r="F92">
        <f t="shared" si="4"/>
        <v>271.43</v>
      </c>
      <c r="H92">
        <f t="shared" si="5"/>
        <v>271.43</v>
      </c>
      <c r="I92">
        <f t="shared" si="6"/>
        <v>13.569999999999993</v>
      </c>
      <c r="J92">
        <f t="shared" si="7"/>
        <v>285</v>
      </c>
    </row>
    <row r="93" spans="2:10" x14ac:dyDescent="0.3">
      <c r="B93">
        <v>5242</v>
      </c>
      <c r="C93" t="s">
        <v>5</v>
      </c>
      <c r="D93">
        <v>91.3</v>
      </c>
      <c r="E93">
        <v>40</v>
      </c>
      <c r="F93">
        <f t="shared" si="4"/>
        <v>38.1</v>
      </c>
      <c r="H93">
        <f t="shared" si="5"/>
        <v>38.1</v>
      </c>
      <c r="I93">
        <f t="shared" si="6"/>
        <v>1.8999999999999986</v>
      </c>
      <c r="J93">
        <f t="shared" si="7"/>
        <v>40</v>
      </c>
    </row>
    <row r="94" spans="2:10" x14ac:dyDescent="0.3">
      <c r="B94">
        <v>3128</v>
      </c>
      <c r="C94" t="s">
        <v>5</v>
      </c>
      <c r="D94">
        <v>102.25</v>
      </c>
      <c r="E94">
        <v>110</v>
      </c>
      <c r="F94">
        <f t="shared" si="4"/>
        <v>104.76</v>
      </c>
      <c r="H94">
        <f t="shared" si="5"/>
        <v>104.76</v>
      </c>
      <c r="I94">
        <f t="shared" si="6"/>
        <v>5.2399999999999949</v>
      </c>
      <c r="J94">
        <f t="shared" si="7"/>
        <v>110</v>
      </c>
    </row>
    <row r="95" spans="2:10" x14ac:dyDescent="0.3">
      <c r="B95">
        <v>1461</v>
      </c>
      <c r="C95" t="s">
        <v>5</v>
      </c>
      <c r="D95">
        <v>50</v>
      </c>
      <c r="E95">
        <v>285</v>
      </c>
      <c r="F95">
        <f t="shared" si="4"/>
        <v>271.43</v>
      </c>
      <c r="H95">
        <f t="shared" si="5"/>
        <v>271.43</v>
      </c>
      <c r="I95">
        <f t="shared" si="6"/>
        <v>13.569999999999993</v>
      </c>
      <c r="J95">
        <f t="shared" si="7"/>
        <v>285</v>
      </c>
    </row>
    <row r="96" spans="2:10" x14ac:dyDescent="0.3">
      <c r="B96">
        <v>5242</v>
      </c>
      <c r="C96" t="s">
        <v>5</v>
      </c>
      <c r="D96">
        <v>84</v>
      </c>
      <c r="E96">
        <v>40</v>
      </c>
      <c r="F96">
        <f t="shared" si="4"/>
        <v>38.1</v>
      </c>
      <c r="H96">
        <f t="shared" si="5"/>
        <v>38.1</v>
      </c>
      <c r="I96">
        <f t="shared" si="6"/>
        <v>1.8999999999999986</v>
      </c>
      <c r="J96">
        <f t="shared" si="7"/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53"/>
  <sheetViews>
    <sheetView topLeftCell="A47" workbookViewId="0">
      <selection activeCell="C53" sqref="C53"/>
    </sheetView>
  </sheetViews>
  <sheetFormatPr defaultRowHeight="14.4" x14ac:dyDescent="0.3"/>
  <cols>
    <col min="2" max="2" width="12.33203125" customWidth="1"/>
    <col min="3" max="3" width="14.6640625" customWidth="1"/>
    <col min="4" max="4" width="12.44140625" customWidth="1"/>
    <col min="5" max="5" width="10.109375" customWidth="1"/>
    <col min="6" max="6" width="24.88671875" customWidth="1"/>
    <col min="10" max="10" width="6.5546875" customWidth="1"/>
  </cols>
  <sheetData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6</v>
      </c>
      <c r="H2" t="s">
        <v>7</v>
      </c>
      <c r="I2" t="s">
        <v>8</v>
      </c>
      <c r="J2" t="s">
        <v>9</v>
      </c>
    </row>
    <row r="3" spans="1:10" x14ac:dyDescent="0.3">
      <c r="B3">
        <v>872</v>
      </c>
      <c r="C3" t="s">
        <v>5</v>
      </c>
      <c r="D3">
        <v>50</v>
      </c>
      <c r="E3">
        <v>115</v>
      </c>
      <c r="F3">
        <f>ROUND(IF(E3&gt;2500, E3/1.18, E3/1.05),2)</f>
        <v>109.52</v>
      </c>
      <c r="H3">
        <f>E3/1.05</f>
        <v>109.52380952380952</v>
      </c>
      <c r="I3">
        <f>E3-F3</f>
        <v>5.480000000000004</v>
      </c>
      <c r="J3" s="2">
        <f>SUM(H3:I3)</f>
        <v>115.00380952380952</v>
      </c>
    </row>
    <row r="4" spans="1:10" x14ac:dyDescent="0.3">
      <c r="B4">
        <v>872</v>
      </c>
      <c r="C4" t="s">
        <v>5</v>
      </c>
      <c r="D4">
        <v>50.25</v>
      </c>
      <c r="E4">
        <v>115</v>
      </c>
      <c r="F4">
        <f t="shared" ref="F4:F53" si="0">ROUND(IF(E4&gt;2500, E4/1.18, E4/1.05),2)</f>
        <v>109.52</v>
      </c>
      <c r="H4">
        <f t="shared" ref="H4:H53" si="1">E4/1.05</f>
        <v>109.52380952380952</v>
      </c>
      <c r="I4">
        <f t="shared" ref="I4:I53" si="2">E4-F4</f>
        <v>5.480000000000004</v>
      </c>
      <c r="J4" s="2">
        <f t="shared" ref="J4:J52" si="3">SUM(H4:I4)</f>
        <v>115.00380952380952</v>
      </c>
    </row>
    <row r="5" spans="1:10" x14ac:dyDescent="0.3">
      <c r="B5">
        <v>872</v>
      </c>
      <c r="C5" t="s">
        <v>5</v>
      </c>
      <c r="D5">
        <v>24.35</v>
      </c>
      <c r="E5">
        <v>115</v>
      </c>
      <c r="F5">
        <f t="shared" si="0"/>
        <v>109.52</v>
      </c>
      <c r="H5">
        <f t="shared" si="1"/>
        <v>109.52380952380952</v>
      </c>
      <c r="I5">
        <f t="shared" si="2"/>
        <v>5.480000000000004</v>
      </c>
      <c r="J5" s="2">
        <f t="shared" si="3"/>
        <v>115.00380952380952</v>
      </c>
    </row>
    <row r="6" spans="1:10" x14ac:dyDescent="0.3">
      <c r="B6">
        <v>2782</v>
      </c>
      <c r="C6" t="s">
        <v>5</v>
      </c>
      <c r="D6">
        <v>14.75</v>
      </c>
      <c r="E6">
        <v>315</v>
      </c>
      <c r="F6">
        <f t="shared" si="0"/>
        <v>300</v>
      </c>
      <c r="H6">
        <f t="shared" si="1"/>
        <v>300</v>
      </c>
      <c r="I6">
        <f t="shared" si="2"/>
        <v>15</v>
      </c>
      <c r="J6" s="2">
        <f t="shared" si="3"/>
        <v>315</v>
      </c>
    </row>
    <row r="7" spans="1:10" x14ac:dyDescent="0.3">
      <c r="B7">
        <v>872</v>
      </c>
      <c r="C7" t="s">
        <v>5</v>
      </c>
      <c r="D7">
        <v>39.6</v>
      </c>
      <c r="E7">
        <v>115</v>
      </c>
      <c r="F7">
        <f t="shared" si="0"/>
        <v>109.52</v>
      </c>
      <c r="H7">
        <f t="shared" si="1"/>
        <v>109.52380952380952</v>
      </c>
      <c r="I7">
        <f t="shared" si="2"/>
        <v>5.480000000000004</v>
      </c>
      <c r="J7" s="2">
        <f t="shared" si="3"/>
        <v>115.00380952380952</v>
      </c>
    </row>
    <row r="8" spans="1:10" x14ac:dyDescent="0.3">
      <c r="B8">
        <v>3334</v>
      </c>
      <c r="C8" t="s">
        <v>5</v>
      </c>
      <c r="D8">
        <v>13.3</v>
      </c>
      <c r="E8">
        <v>275</v>
      </c>
      <c r="F8">
        <f t="shared" si="0"/>
        <v>261.89999999999998</v>
      </c>
      <c r="H8">
        <f t="shared" si="1"/>
        <v>261.90476190476187</v>
      </c>
      <c r="I8">
        <f t="shared" si="2"/>
        <v>13.100000000000023</v>
      </c>
      <c r="J8" s="2">
        <f t="shared" si="3"/>
        <v>275.00476190476189</v>
      </c>
    </row>
    <row r="9" spans="1:10" x14ac:dyDescent="0.3">
      <c r="B9">
        <v>2805</v>
      </c>
      <c r="C9" t="s">
        <v>5</v>
      </c>
      <c r="D9">
        <v>44</v>
      </c>
      <c r="E9">
        <v>135</v>
      </c>
      <c r="F9">
        <f t="shared" si="0"/>
        <v>128.57</v>
      </c>
      <c r="H9">
        <f t="shared" si="1"/>
        <v>128.57142857142856</v>
      </c>
      <c r="I9">
        <f t="shared" si="2"/>
        <v>6.4300000000000068</v>
      </c>
      <c r="J9" s="2">
        <f t="shared" si="3"/>
        <v>135.00142857142856</v>
      </c>
    </row>
    <row r="10" spans="1:10" x14ac:dyDescent="0.3">
      <c r="B10">
        <v>3251</v>
      </c>
      <c r="C10" t="s">
        <v>5</v>
      </c>
      <c r="D10">
        <v>21</v>
      </c>
      <c r="E10">
        <v>305</v>
      </c>
      <c r="F10">
        <f t="shared" si="0"/>
        <v>290.48</v>
      </c>
      <c r="H10">
        <f t="shared" si="1"/>
        <v>290.47619047619048</v>
      </c>
      <c r="I10">
        <f t="shared" si="2"/>
        <v>14.519999999999982</v>
      </c>
      <c r="J10" s="2">
        <f t="shared" si="3"/>
        <v>304.99619047619046</v>
      </c>
    </row>
    <row r="11" spans="1:10" x14ac:dyDescent="0.3">
      <c r="B11">
        <v>2805</v>
      </c>
      <c r="C11" t="s">
        <v>5</v>
      </c>
      <c r="D11">
        <v>53.25</v>
      </c>
      <c r="E11">
        <v>135</v>
      </c>
      <c r="F11">
        <f t="shared" si="0"/>
        <v>128.57</v>
      </c>
      <c r="H11">
        <f t="shared" si="1"/>
        <v>128.57142857142856</v>
      </c>
      <c r="I11">
        <f t="shared" si="2"/>
        <v>6.4300000000000068</v>
      </c>
      <c r="J11" s="2">
        <f t="shared" si="3"/>
        <v>135.00142857142856</v>
      </c>
    </row>
    <row r="12" spans="1:10" x14ac:dyDescent="0.3">
      <c r="B12">
        <v>3111</v>
      </c>
      <c r="C12" t="s">
        <v>5</v>
      </c>
      <c r="D12">
        <v>7.75</v>
      </c>
      <c r="E12">
        <v>220</v>
      </c>
      <c r="F12">
        <f t="shared" si="0"/>
        <v>209.52</v>
      </c>
      <c r="H12">
        <f t="shared" si="1"/>
        <v>209.52380952380952</v>
      </c>
      <c r="I12">
        <f t="shared" si="2"/>
        <v>10.47999999999999</v>
      </c>
      <c r="J12" s="2">
        <f t="shared" si="3"/>
        <v>220.00380952380951</v>
      </c>
    </row>
    <row r="13" spans="1:10" x14ac:dyDescent="0.3">
      <c r="B13">
        <v>2809</v>
      </c>
      <c r="C13" t="s">
        <v>5</v>
      </c>
      <c r="D13">
        <v>48.8</v>
      </c>
      <c r="E13">
        <v>240</v>
      </c>
      <c r="F13">
        <f t="shared" si="0"/>
        <v>228.57</v>
      </c>
      <c r="H13">
        <f t="shared" si="1"/>
        <v>228.57142857142856</v>
      </c>
      <c r="I13">
        <f t="shared" si="2"/>
        <v>11.430000000000007</v>
      </c>
      <c r="J13" s="2">
        <f t="shared" si="3"/>
        <v>240.00142857142856</v>
      </c>
    </row>
    <row r="14" spans="1:10" x14ac:dyDescent="0.3">
      <c r="B14">
        <v>3111</v>
      </c>
      <c r="C14" t="s">
        <v>5</v>
      </c>
      <c r="D14">
        <v>7.8</v>
      </c>
      <c r="E14">
        <v>220</v>
      </c>
      <c r="F14">
        <f t="shared" si="0"/>
        <v>209.52</v>
      </c>
      <c r="H14">
        <f t="shared" si="1"/>
        <v>209.52380952380952</v>
      </c>
      <c r="I14">
        <f t="shared" si="2"/>
        <v>10.47999999999999</v>
      </c>
      <c r="J14" s="2">
        <f t="shared" si="3"/>
        <v>220.00380952380951</v>
      </c>
    </row>
    <row r="15" spans="1:10" x14ac:dyDescent="0.3">
      <c r="B15">
        <v>1841</v>
      </c>
      <c r="C15" t="s">
        <v>5</v>
      </c>
      <c r="D15">
        <v>38.799999999999997</v>
      </c>
      <c r="E15">
        <v>55</v>
      </c>
      <c r="F15">
        <f t="shared" si="0"/>
        <v>52.38</v>
      </c>
      <c r="H15">
        <f t="shared" si="1"/>
        <v>52.38095238095238</v>
      </c>
      <c r="I15">
        <f t="shared" si="2"/>
        <v>2.6199999999999974</v>
      </c>
      <c r="J15" s="2">
        <f t="shared" si="3"/>
        <v>55.000952380952377</v>
      </c>
    </row>
    <row r="16" spans="1:10" x14ac:dyDescent="0.3">
      <c r="B16">
        <v>3249</v>
      </c>
      <c r="C16" t="s">
        <v>5</v>
      </c>
      <c r="D16">
        <v>17</v>
      </c>
      <c r="E16">
        <v>495</v>
      </c>
      <c r="F16">
        <f t="shared" si="0"/>
        <v>471.43</v>
      </c>
      <c r="H16">
        <f t="shared" si="1"/>
        <v>471.42857142857139</v>
      </c>
      <c r="I16">
        <f t="shared" si="2"/>
        <v>23.569999999999993</v>
      </c>
      <c r="J16" s="2">
        <f t="shared" si="3"/>
        <v>494.99857142857138</v>
      </c>
    </row>
    <row r="17" spans="2:10" x14ac:dyDescent="0.3">
      <c r="B17">
        <v>1335</v>
      </c>
      <c r="C17" t="s">
        <v>5</v>
      </c>
      <c r="D17">
        <v>43.8</v>
      </c>
      <c r="E17">
        <v>155</v>
      </c>
      <c r="F17">
        <f t="shared" si="0"/>
        <v>147.62</v>
      </c>
      <c r="H17">
        <f t="shared" si="1"/>
        <v>147.61904761904762</v>
      </c>
      <c r="I17">
        <f t="shared" si="2"/>
        <v>7.3799999999999955</v>
      </c>
      <c r="J17" s="2">
        <f t="shared" si="3"/>
        <v>154.99904761904762</v>
      </c>
    </row>
    <row r="18" spans="2:10" x14ac:dyDescent="0.3">
      <c r="B18">
        <v>3114</v>
      </c>
      <c r="C18" t="s">
        <v>5</v>
      </c>
      <c r="D18">
        <v>68</v>
      </c>
      <c r="E18">
        <v>170</v>
      </c>
      <c r="F18">
        <f t="shared" si="0"/>
        <v>161.9</v>
      </c>
      <c r="H18">
        <f t="shared" si="1"/>
        <v>161.9047619047619</v>
      </c>
      <c r="I18">
        <f t="shared" si="2"/>
        <v>8.0999999999999943</v>
      </c>
      <c r="J18" s="2">
        <f t="shared" si="3"/>
        <v>170.00476190476189</v>
      </c>
    </row>
    <row r="19" spans="2:10" x14ac:dyDescent="0.3">
      <c r="B19">
        <v>5039</v>
      </c>
      <c r="C19" t="s">
        <v>5</v>
      </c>
      <c r="D19">
        <v>58</v>
      </c>
      <c r="E19">
        <v>210</v>
      </c>
      <c r="F19">
        <f t="shared" si="0"/>
        <v>200</v>
      </c>
      <c r="H19">
        <f t="shared" si="1"/>
        <v>200</v>
      </c>
      <c r="I19">
        <f t="shared" si="2"/>
        <v>10</v>
      </c>
      <c r="J19" s="2">
        <f t="shared" si="3"/>
        <v>210</v>
      </c>
    </row>
    <row r="20" spans="2:10" x14ac:dyDescent="0.3">
      <c r="B20">
        <v>1128</v>
      </c>
      <c r="C20" t="s">
        <v>5</v>
      </c>
      <c r="D20">
        <v>47.3</v>
      </c>
      <c r="E20">
        <v>225</v>
      </c>
      <c r="F20">
        <f t="shared" si="0"/>
        <v>214.29</v>
      </c>
      <c r="H20">
        <f t="shared" si="1"/>
        <v>214.28571428571428</v>
      </c>
      <c r="I20">
        <f t="shared" si="2"/>
        <v>10.710000000000008</v>
      </c>
      <c r="J20" s="2">
        <f t="shared" si="3"/>
        <v>224.99571428571429</v>
      </c>
    </row>
    <row r="21" spans="2:10" x14ac:dyDescent="0.3">
      <c r="B21">
        <v>3126</v>
      </c>
      <c r="C21" t="s">
        <v>5</v>
      </c>
      <c r="D21">
        <v>43.8</v>
      </c>
      <c r="E21">
        <v>95</v>
      </c>
      <c r="F21">
        <f t="shared" si="0"/>
        <v>90.48</v>
      </c>
      <c r="H21">
        <f t="shared" si="1"/>
        <v>90.476190476190467</v>
      </c>
      <c r="I21">
        <f t="shared" si="2"/>
        <v>4.519999999999996</v>
      </c>
      <c r="J21" s="2">
        <f t="shared" si="3"/>
        <v>94.996190476190463</v>
      </c>
    </row>
    <row r="22" spans="2:10" x14ac:dyDescent="0.3">
      <c r="B22">
        <v>5040</v>
      </c>
      <c r="C22" t="s">
        <v>5</v>
      </c>
      <c r="D22">
        <v>75</v>
      </c>
      <c r="E22">
        <v>190</v>
      </c>
      <c r="F22">
        <f t="shared" si="0"/>
        <v>180.95</v>
      </c>
      <c r="H22">
        <f t="shared" si="1"/>
        <v>180.95238095238093</v>
      </c>
      <c r="I22">
        <f t="shared" si="2"/>
        <v>9.0500000000000114</v>
      </c>
      <c r="J22" s="2">
        <f t="shared" si="3"/>
        <v>190.00238095238095</v>
      </c>
    </row>
    <row r="23" spans="2:10" x14ac:dyDescent="0.3">
      <c r="B23">
        <v>42</v>
      </c>
      <c r="C23" t="s">
        <v>5</v>
      </c>
      <c r="D23">
        <v>22.25</v>
      </c>
      <c r="E23">
        <v>835</v>
      </c>
      <c r="F23">
        <f t="shared" si="0"/>
        <v>795.24</v>
      </c>
      <c r="H23">
        <f t="shared" si="1"/>
        <v>795.23809523809518</v>
      </c>
      <c r="I23">
        <f t="shared" si="2"/>
        <v>39.759999999999991</v>
      </c>
      <c r="J23" s="2">
        <f t="shared" si="3"/>
        <v>834.99809523809517</v>
      </c>
    </row>
    <row r="24" spans="2:10" x14ac:dyDescent="0.3">
      <c r="B24">
        <v>1454</v>
      </c>
      <c r="C24" t="s">
        <v>5</v>
      </c>
      <c r="D24">
        <v>50</v>
      </c>
      <c r="E24">
        <v>170</v>
      </c>
      <c r="F24">
        <f t="shared" si="0"/>
        <v>161.9</v>
      </c>
      <c r="H24">
        <f t="shared" si="1"/>
        <v>161.9047619047619</v>
      </c>
      <c r="I24">
        <f t="shared" si="2"/>
        <v>8.0999999999999943</v>
      </c>
      <c r="J24" s="2">
        <f t="shared" si="3"/>
        <v>170.00476190476189</v>
      </c>
    </row>
    <row r="25" spans="2:10" x14ac:dyDescent="0.3">
      <c r="B25">
        <v>3230</v>
      </c>
      <c r="C25" t="s">
        <v>5</v>
      </c>
      <c r="D25">
        <v>2.4</v>
      </c>
      <c r="E25">
        <v>350</v>
      </c>
      <c r="F25">
        <f t="shared" si="0"/>
        <v>333.33</v>
      </c>
      <c r="H25">
        <f t="shared" si="1"/>
        <v>333.33333333333331</v>
      </c>
      <c r="I25">
        <f t="shared" si="2"/>
        <v>16.670000000000016</v>
      </c>
      <c r="J25" s="2">
        <f t="shared" si="3"/>
        <v>350.00333333333333</v>
      </c>
    </row>
    <row r="26" spans="2:10" x14ac:dyDescent="0.3">
      <c r="B26">
        <v>3120</v>
      </c>
      <c r="C26" t="s">
        <v>5</v>
      </c>
      <c r="D26">
        <v>52</v>
      </c>
      <c r="E26">
        <v>225</v>
      </c>
      <c r="F26">
        <f t="shared" si="0"/>
        <v>214.29</v>
      </c>
      <c r="H26">
        <f t="shared" si="1"/>
        <v>214.28571428571428</v>
      </c>
      <c r="I26">
        <f t="shared" si="2"/>
        <v>10.710000000000008</v>
      </c>
      <c r="J26" s="2">
        <f t="shared" si="3"/>
        <v>224.99571428571429</v>
      </c>
    </row>
    <row r="27" spans="2:10" x14ac:dyDescent="0.3">
      <c r="B27">
        <v>3113</v>
      </c>
      <c r="C27" t="s">
        <v>5</v>
      </c>
      <c r="D27">
        <v>23.8</v>
      </c>
      <c r="E27">
        <v>135</v>
      </c>
      <c r="F27">
        <f t="shared" si="0"/>
        <v>128.57</v>
      </c>
      <c r="H27">
        <f t="shared" si="1"/>
        <v>128.57142857142856</v>
      </c>
      <c r="I27">
        <f t="shared" si="2"/>
        <v>6.4300000000000068</v>
      </c>
      <c r="J27" s="2">
        <f t="shared" si="3"/>
        <v>135.00142857142856</v>
      </c>
    </row>
    <row r="28" spans="2:10" x14ac:dyDescent="0.3">
      <c r="B28">
        <v>1457</v>
      </c>
      <c r="C28" t="s">
        <v>5</v>
      </c>
      <c r="D28">
        <v>46</v>
      </c>
      <c r="E28">
        <v>155</v>
      </c>
      <c r="F28">
        <f t="shared" si="0"/>
        <v>147.62</v>
      </c>
      <c r="H28">
        <f t="shared" si="1"/>
        <v>147.61904761904762</v>
      </c>
      <c r="I28">
        <f t="shared" si="2"/>
        <v>7.3799999999999955</v>
      </c>
      <c r="J28" s="2">
        <f t="shared" si="3"/>
        <v>154.99904761904762</v>
      </c>
    </row>
    <row r="29" spans="2:10" x14ac:dyDescent="0.3">
      <c r="B29">
        <v>5037</v>
      </c>
      <c r="C29" t="s">
        <v>5</v>
      </c>
      <c r="D29">
        <v>43</v>
      </c>
      <c r="E29">
        <v>135</v>
      </c>
      <c r="F29">
        <f t="shared" si="0"/>
        <v>128.57</v>
      </c>
      <c r="H29">
        <f t="shared" si="1"/>
        <v>128.57142857142856</v>
      </c>
      <c r="I29">
        <f t="shared" si="2"/>
        <v>6.4300000000000068</v>
      </c>
      <c r="J29" s="2">
        <f t="shared" si="3"/>
        <v>135.00142857142856</v>
      </c>
    </row>
    <row r="30" spans="2:10" x14ac:dyDescent="0.3">
      <c r="B30">
        <v>3124</v>
      </c>
      <c r="C30" t="s">
        <v>5</v>
      </c>
      <c r="D30">
        <v>58.75</v>
      </c>
      <c r="E30">
        <v>220</v>
      </c>
      <c r="F30">
        <f t="shared" si="0"/>
        <v>209.52</v>
      </c>
      <c r="H30">
        <f t="shared" si="1"/>
        <v>209.52380952380952</v>
      </c>
      <c r="I30">
        <f t="shared" si="2"/>
        <v>10.47999999999999</v>
      </c>
      <c r="J30" s="2">
        <f t="shared" si="3"/>
        <v>220.00380952380951</v>
      </c>
    </row>
    <row r="31" spans="2:10" x14ac:dyDescent="0.3">
      <c r="B31">
        <v>3117</v>
      </c>
      <c r="C31" t="s">
        <v>5</v>
      </c>
      <c r="D31">
        <v>37.5</v>
      </c>
      <c r="E31">
        <v>230</v>
      </c>
      <c r="F31">
        <f t="shared" si="0"/>
        <v>219.05</v>
      </c>
      <c r="H31">
        <f t="shared" si="1"/>
        <v>219.04761904761904</v>
      </c>
      <c r="I31">
        <f t="shared" si="2"/>
        <v>10.949999999999989</v>
      </c>
      <c r="J31" s="2">
        <f t="shared" si="3"/>
        <v>229.99761904761903</v>
      </c>
    </row>
    <row r="32" spans="2:10" x14ac:dyDescent="0.3">
      <c r="B32">
        <v>3109</v>
      </c>
      <c r="C32" t="s">
        <v>5</v>
      </c>
      <c r="D32">
        <v>34.25</v>
      </c>
      <c r="E32">
        <v>150</v>
      </c>
      <c r="F32">
        <f t="shared" si="0"/>
        <v>142.86000000000001</v>
      </c>
      <c r="H32">
        <f t="shared" si="1"/>
        <v>142.85714285714286</v>
      </c>
      <c r="I32">
        <f t="shared" si="2"/>
        <v>7.1399999999999864</v>
      </c>
      <c r="J32" s="2">
        <f t="shared" si="3"/>
        <v>149.99714285714285</v>
      </c>
    </row>
    <row r="33" spans="2:10" x14ac:dyDescent="0.3">
      <c r="B33">
        <v>1835</v>
      </c>
      <c r="C33" t="s">
        <v>5</v>
      </c>
      <c r="D33">
        <v>11</v>
      </c>
      <c r="E33">
        <v>155</v>
      </c>
      <c r="F33">
        <f t="shared" si="0"/>
        <v>147.62</v>
      </c>
      <c r="H33">
        <f t="shared" si="1"/>
        <v>147.61904761904762</v>
      </c>
      <c r="I33">
        <f t="shared" si="2"/>
        <v>7.3799999999999955</v>
      </c>
      <c r="J33" s="2">
        <f t="shared" si="3"/>
        <v>154.99904761904762</v>
      </c>
    </row>
    <row r="34" spans="2:10" x14ac:dyDescent="0.3">
      <c r="B34">
        <v>1294</v>
      </c>
      <c r="C34" t="s">
        <v>5</v>
      </c>
      <c r="D34">
        <v>51.65</v>
      </c>
      <c r="E34">
        <v>95</v>
      </c>
      <c r="F34">
        <f t="shared" si="0"/>
        <v>90.48</v>
      </c>
      <c r="H34">
        <f t="shared" si="1"/>
        <v>90.476190476190467</v>
      </c>
      <c r="I34">
        <f t="shared" si="2"/>
        <v>4.519999999999996</v>
      </c>
      <c r="J34" s="2">
        <f t="shared" si="3"/>
        <v>94.996190476190463</v>
      </c>
    </row>
    <row r="35" spans="2:10" x14ac:dyDescent="0.3">
      <c r="B35">
        <v>3117</v>
      </c>
      <c r="C35" t="s">
        <v>5</v>
      </c>
      <c r="D35">
        <v>42.4</v>
      </c>
      <c r="E35">
        <v>230</v>
      </c>
      <c r="F35">
        <f t="shared" si="0"/>
        <v>219.05</v>
      </c>
      <c r="H35">
        <f t="shared" si="1"/>
        <v>219.04761904761904</v>
      </c>
      <c r="I35">
        <f t="shared" si="2"/>
        <v>10.949999999999989</v>
      </c>
      <c r="J35" s="2">
        <f t="shared" si="3"/>
        <v>229.99761904761903</v>
      </c>
    </row>
    <row r="36" spans="2:10" x14ac:dyDescent="0.3">
      <c r="B36">
        <v>3161</v>
      </c>
      <c r="C36" t="s">
        <v>5</v>
      </c>
      <c r="D36">
        <v>38.25</v>
      </c>
      <c r="E36">
        <v>200</v>
      </c>
      <c r="F36">
        <f t="shared" si="0"/>
        <v>190.48</v>
      </c>
      <c r="H36">
        <f t="shared" si="1"/>
        <v>190.47619047619048</v>
      </c>
      <c r="I36">
        <f t="shared" si="2"/>
        <v>9.5200000000000102</v>
      </c>
      <c r="J36" s="2">
        <f t="shared" si="3"/>
        <v>199.99619047619049</v>
      </c>
    </row>
    <row r="37" spans="2:10" x14ac:dyDescent="0.3">
      <c r="B37">
        <v>1455</v>
      </c>
      <c r="C37" t="s">
        <v>5</v>
      </c>
      <c r="D37">
        <v>46.7</v>
      </c>
      <c r="E37">
        <v>140</v>
      </c>
      <c r="F37">
        <f t="shared" si="0"/>
        <v>133.33000000000001</v>
      </c>
      <c r="H37">
        <f t="shared" si="1"/>
        <v>133.33333333333331</v>
      </c>
      <c r="I37">
        <f t="shared" si="2"/>
        <v>6.6699999999999875</v>
      </c>
      <c r="J37" s="2">
        <f t="shared" si="3"/>
        <v>140.0033333333333</v>
      </c>
    </row>
    <row r="38" spans="2:10" x14ac:dyDescent="0.3">
      <c r="B38">
        <v>1459</v>
      </c>
      <c r="C38" t="s">
        <v>5</v>
      </c>
      <c r="D38">
        <v>50</v>
      </c>
      <c r="E38">
        <v>165</v>
      </c>
      <c r="F38">
        <f t="shared" si="0"/>
        <v>157.13999999999999</v>
      </c>
      <c r="H38">
        <f t="shared" si="1"/>
        <v>157.14285714285714</v>
      </c>
      <c r="I38">
        <f t="shared" si="2"/>
        <v>7.8600000000000136</v>
      </c>
      <c r="J38" s="2">
        <f t="shared" si="3"/>
        <v>165.00285714285715</v>
      </c>
    </row>
    <row r="39" spans="2:10" x14ac:dyDescent="0.3">
      <c r="B39">
        <v>1294</v>
      </c>
      <c r="C39" t="s">
        <v>5</v>
      </c>
      <c r="D39">
        <v>14</v>
      </c>
      <c r="E39">
        <v>95</v>
      </c>
      <c r="F39">
        <f t="shared" si="0"/>
        <v>90.48</v>
      </c>
      <c r="H39">
        <f t="shared" si="1"/>
        <v>90.476190476190467</v>
      </c>
      <c r="I39">
        <f t="shared" si="2"/>
        <v>4.519999999999996</v>
      </c>
      <c r="J39" s="2">
        <f t="shared" si="3"/>
        <v>94.996190476190463</v>
      </c>
    </row>
    <row r="40" spans="2:10" x14ac:dyDescent="0.3">
      <c r="B40">
        <v>3110</v>
      </c>
      <c r="C40" t="s">
        <v>5</v>
      </c>
      <c r="D40">
        <v>24.75</v>
      </c>
      <c r="E40">
        <v>155</v>
      </c>
      <c r="F40">
        <f t="shared" si="0"/>
        <v>147.62</v>
      </c>
      <c r="H40">
        <f t="shared" si="1"/>
        <v>147.61904761904762</v>
      </c>
      <c r="I40">
        <f t="shared" si="2"/>
        <v>7.3799999999999955</v>
      </c>
      <c r="J40" s="2">
        <f t="shared" si="3"/>
        <v>154.99904761904762</v>
      </c>
    </row>
    <row r="41" spans="2:10" x14ac:dyDescent="0.3">
      <c r="B41">
        <v>2808</v>
      </c>
      <c r="C41" t="s">
        <v>5</v>
      </c>
      <c r="D41">
        <v>6.5</v>
      </c>
      <c r="E41">
        <v>370</v>
      </c>
      <c r="F41">
        <f t="shared" si="0"/>
        <v>352.38</v>
      </c>
      <c r="H41">
        <f t="shared" si="1"/>
        <v>352.38095238095235</v>
      </c>
      <c r="I41">
        <f t="shared" si="2"/>
        <v>17.620000000000005</v>
      </c>
      <c r="J41" s="2">
        <f t="shared" si="3"/>
        <v>370.00095238095236</v>
      </c>
    </row>
    <row r="42" spans="2:10" x14ac:dyDescent="0.3">
      <c r="B42">
        <v>2809</v>
      </c>
      <c r="C42" t="s">
        <v>5</v>
      </c>
      <c r="D42">
        <v>50</v>
      </c>
      <c r="E42">
        <v>240</v>
      </c>
      <c r="F42">
        <f t="shared" si="0"/>
        <v>228.57</v>
      </c>
      <c r="H42">
        <f t="shared" si="1"/>
        <v>228.57142857142856</v>
      </c>
      <c r="I42">
        <f t="shared" si="2"/>
        <v>11.430000000000007</v>
      </c>
      <c r="J42" s="2">
        <f t="shared" si="3"/>
        <v>240.00142857142856</v>
      </c>
    </row>
    <row r="43" spans="2:10" x14ac:dyDescent="0.3">
      <c r="B43">
        <v>474</v>
      </c>
      <c r="C43" t="s">
        <v>5</v>
      </c>
      <c r="D43">
        <v>25.75</v>
      </c>
      <c r="E43">
        <v>295</v>
      </c>
      <c r="F43">
        <f t="shared" si="0"/>
        <v>280.95</v>
      </c>
      <c r="H43">
        <f t="shared" si="1"/>
        <v>280.95238095238096</v>
      </c>
      <c r="I43">
        <f t="shared" si="2"/>
        <v>14.050000000000011</v>
      </c>
      <c r="J43" s="2">
        <f t="shared" si="3"/>
        <v>295.00238095238097</v>
      </c>
    </row>
    <row r="44" spans="2:10" x14ac:dyDescent="0.3">
      <c r="B44">
        <v>1593</v>
      </c>
      <c r="C44" t="s">
        <v>5</v>
      </c>
      <c r="D44">
        <v>3.5</v>
      </c>
      <c r="E44">
        <v>475</v>
      </c>
      <c r="F44">
        <f t="shared" si="0"/>
        <v>452.38</v>
      </c>
      <c r="H44">
        <f t="shared" si="1"/>
        <v>452.38095238095235</v>
      </c>
      <c r="I44">
        <f t="shared" si="2"/>
        <v>22.620000000000005</v>
      </c>
      <c r="J44" s="2">
        <f t="shared" si="3"/>
        <v>475.00095238095236</v>
      </c>
    </row>
    <row r="45" spans="2:10" x14ac:dyDescent="0.3">
      <c r="B45">
        <v>1592</v>
      </c>
      <c r="C45" t="s">
        <v>5</v>
      </c>
      <c r="D45">
        <v>7</v>
      </c>
      <c r="E45">
        <v>450</v>
      </c>
      <c r="F45">
        <f t="shared" si="0"/>
        <v>428.57</v>
      </c>
      <c r="H45">
        <f t="shared" si="1"/>
        <v>428.57142857142856</v>
      </c>
      <c r="I45">
        <f t="shared" si="2"/>
        <v>21.430000000000007</v>
      </c>
      <c r="J45" s="2">
        <f t="shared" si="3"/>
        <v>450.00142857142856</v>
      </c>
    </row>
    <row r="46" spans="2:10" x14ac:dyDescent="0.3">
      <c r="B46">
        <v>1835</v>
      </c>
      <c r="C46" t="s">
        <v>5</v>
      </c>
      <c r="D46">
        <v>9.8000000000000007</v>
      </c>
      <c r="E46">
        <v>155</v>
      </c>
      <c r="F46">
        <f t="shared" si="0"/>
        <v>147.62</v>
      </c>
      <c r="H46">
        <f t="shared" si="1"/>
        <v>147.61904761904762</v>
      </c>
      <c r="I46">
        <f t="shared" si="2"/>
        <v>7.3799999999999955</v>
      </c>
      <c r="J46" s="2">
        <f t="shared" si="3"/>
        <v>154.99904761904762</v>
      </c>
    </row>
    <row r="47" spans="2:10" x14ac:dyDescent="0.3">
      <c r="B47">
        <v>1330</v>
      </c>
      <c r="C47" t="s">
        <v>5</v>
      </c>
      <c r="D47">
        <v>44</v>
      </c>
      <c r="E47">
        <v>195</v>
      </c>
      <c r="F47">
        <f t="shared" si="0"/>
        <v>185.71</v>
      </c>
      <c r="H47">
        <f t="shared" si="1"/>
        <v>185.71428571428569</v>
      </c>
      <c r="I47">
        <f t="shared" si="2"/>
        <v>9.289999999999992</v>
      </c>
      <c r="J47" s="2">
        <f t="shared" si="3"/>
        <v>195.00428571428569</v>
      </c>
    </row>
    <row r="48" spans="2:10" x14ac:dyDescent="0.3">
      <c r="B48">
        <v>3235</v>
      </c>
      <c r="C48" t="s">
        <v>5</v>
      </c>
      <c r="D48">
        <v>48.5</v>
      </c>
      <c r="E48">
        <v>295</v>
      </c>
      <c r="F48">
        <f t="shared" si="0"/>
        <v>280.95</v>
      </c>
      <c r="H48">
        <f t="shared" si="1"/>
        <v>280.95238095238096</v>
      </c>
      <c r="I48">
        <f t="shared" si="2"/>
        <v>14.050000000000011</v>
      </c>
      <c r="J48" s="2">
        <f t="shared" si="3"/>
        <v>295.00238095238097</v>
      </c>
    </row>
    <row r="49" spans="2:10" x14ac:dyDescent="0.3">
      <c r="B49">
        <v>3119</v>
      </c>
      <c r="C49" t="s">
        <v>5</v>
      </c>
      <c r="D49">
        <v>30.3</v>
      </c>
      <c r="E49">
        <v>545</v>
      </c>
      <c r="F49">
        <f t="shared" si="0"/>
        <v>519.04999999999995</v>
      </c>
      <c r="H49">
        <f t="shared" si="1"/>
        <v>519.04761904761904</v>
      </c>
      <c r="I49">
        <f t="shared" si="2"/>
        <v>25.950000000000045</v>
      </c>
      <c r="J49" s="2">
        <f t="shared" si="3"/>
        <v>544.99761904761908</v>
      </c>
    </row>
    <row r="50" spans="2:10" x14ac:dyDescent="0.3">
      <c r="B50">
        <v>1452</v>
      </c>
      <c r="C50" t="s">
        <v>5</v>
      </c>
      <c r="D50">
        <v>35.950000000000003</v>
      </c>
      <c r="E50">
        <v>195</v>
      </c>
      <c r="F50">
        <f t="shared" si="0"/>
        <v>185.71</v>
      </c>
      <c r="H50">
        <f t="shared" si="1"/>
        <v>185.71428571428569</v>
      </c>
      <c r="I50">
        <f t="shared" si="2"/>
        <v>9.289999999999992</v>
      </c>
      <c r="J50" s="2">
        <f t="shared" si="3"/>
        <v>195.00428571428569</v>
      </c>
    </row>
    <row r="51" spans="2:10" x14ac:dyDescent="0.3">
      <c r="B51">
        <v>3234</v>
      </c>
      <c r="C51" t="s">
        <v>5</v>
      </c>
      <c r="D51">
        <v>7.25</v>
      </c>
      <c r="E51">
        <v>275</v>
      </c>
      <c r="F51">
        <f t="shared" si="0"/>
        <v>261.89999999999998</v>
      </c>
      <c r="H51">
        <f t="shared" si="1"/>
        <v>261.90476190476187</v>
      </c>
      <c r="I51">
        <f t="shared" si="2"/>
        <v>13.100000000000023</v>
      </c>
      <c r="J51" s="2">
        <f t="shared" si="3"/>
        <v>275.00476190476189</v>
      </c>
    </row>
    <row r="52" spans="2:10" x14ac:dyDescent="0.3">
      <c r="B52">
        <v>3339</v>
      </c>
      <c r="C52" t="s">
        <v>5</v>
      </c>
      <c r="D52">
        <v>21</v>
      </c>
      <c r="E52">
        <v>495</v>
      </c>
      <c r="F52">
        <f t="shared" si="0"/>
        <v>471.43</v>
      </c>
      <c r="H52">
        <f t="shared" si="1"/>
        <v>471.42857142857139</v>
      </c>
      <c r="I52">
        <f t="shared" si="2"/>
        <v>23.569999999999993</v>
      </c>
      <c r="J52" s="2">
        <f t="shared" si="3"/>
        <v>494.99857142857138</v>
      </c>
    </row>
    <row r="53" spans="2:10" x14ac:dyDescent="0.3">
      <c r="B53">
        <v>5220</v>
      </c>
      <c r="C53" t="s">
        <v>5</v>
      </c>
      <c r="D53">
        <v>15</v>
      </c>
      <c r="E53">
        <v>475</v>
      </c>
      <c r="F53">
        <f t="shared" si="0"/>
        <v>452.38</v>
      </c>
      <c r="H53">
        <f t="shared" si="1"/>
        <v>452.38095238095235</v>
      </c>
      <c r="I53">
        <f t="shared" si="2"/>
        <v>22.620000000000005</v>
      </c>
      <c r="J53" s="2">
        <f>SUM(H53:I53)</f>
        <v>475.00095238095236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</dc:creator>
  <cp:lastModifiedBy>Harikrishna M</cp:lastModifiedBy>
  <dcterms:created xsi:type="dcterms:W3CDTF">2015-06-05T18:17:20Z</dcterms:created>
  <dcterms:modified xsi:type="dcterms:W3CDTF">2026-04-05T16:30:27Z</dcterms:modified>
</cp:coreProperties>
</file>